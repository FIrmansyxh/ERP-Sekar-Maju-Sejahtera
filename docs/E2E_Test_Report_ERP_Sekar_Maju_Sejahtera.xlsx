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Test Case Detail" state="visible" r:id="rId5"/>
    <sheet sheetId="3" name="Defect Log" state="visible" r:id="rId6"/>
    <sheet sheetId="4" name="Ringkasan Eksekusi" state="visible" r:id="rId7"/>
    <sheet sheetId="5" name="Traceability Matrix" state="visible" r:id="rId8"/>
    <sheet sheetId="6" name="Sign-off" state="visible" r:id="rId9"/>
  </sheets>
  <calcPr calcId="171027"/>
</workbook>
</file>

<file path=xl/sharedStrings.xml><?xml version="1.0" encoding="utf-8"?>
<sst xmlns="http://schemas.openxmlformats.org/spreadsheetml/2006/main" count="2128" uniqueCount="1195">
  <si>
    <t>LAPORAN PENGUJIAN END-TO-END (E2E)</t>
  </si>
  <si>
    <t>Sistem Manajemen Gudang Tembakau - PR. SEKAR MAJU SEJAHTERA</t>
  </si>
  <si>
    <t>Dokumen Test Case Detail, Defect Log, Traceability Matrix &amp; Execution Summary</t>
  </si>
  <si>
    <t>Repository</t>
  </si>
  <si>
    <t>https://github.com/FIrmansyxh/ERP-Sekar-Maju-Sejahtera</t>
  </si>
  <si>
    <t>Jenis Aplikasi</t>
  </si>
  <si>
    <t>Single Page Application (SPA) - React 19 + TypeScript + Vite (client-only, localStorage sbg persistence)</t>
  </si>
  <si>
    <t>Dokumen Acuan</t>
  </si>
  <si>
    <t>docs/E2E_TESTING_PREPARATION.md</t>
  </si>
  <si>
    <t>Disusun / Dieksekusi oleh</t>
  </si>
  <si>
    <t>Claude (AI QA Engineer) - Automated Browser Testing</t>
  </si>
  <si>
    <t>Tanggal Eksekusi</t>
  </si>
  <si>
    <t>2026-09-13</t>
  </si>
  <si>
    <t>Environment Uji</t>
  </si>
  <si>
    <t>Local dev build (npm run dev), commit a1033d9; Browser: Chromium embedded (single browser); Viewport desktop standar</t>
  </si>
  <si>
    <t>Metode Eksekusi</t>
  </si>
  <si>
    <t>Pengujian fungsional aktif di browser sungguhan (bukan sekadar review dokumen) mengikuti Critical User Journey §5 dokumen acuan, dilengkapi code review bertarget untuk memverifikasi/mengklarifikasi temuan UI</t>
  </si>
  <si>
    <t>Status Entry Criteria</t>
  </si>
  <si>
    <t>npm run build &amp; npm run lint (tsc --noEmit) LULUS tanpa error - lihat sheet 'Ringkasan Eksekusi'</t>
  </si>
  <si>
    <t>RINGKASAN TEMUAN UTAMA (lihat sheet Defect Log untuk detail lengkap)</t>
  </si>
  <si>
    <t>2 Defect Blocker/Critical DITEMUKAN &amp; TERBUKTI (dgn bukti reproduksi langsung di browser):</t>
  </si>
  <si>
    <t xml:space="preserve">  - DEF-001 (Blocker): Sistem AUTO-LOGIN sebagai Super Admin tanpa kredensial saat localStorage kosong (bukan hanya "sesi hilang" seperti asumsi dokumen) - celah keamanan otentikasi.</t>
  </si>
  <si>
    <t xml:space="preserve">  - DEF-002 (Critical): Potongan "Ganti Tikar" (Rp75.000) tercantum benar di rincian itemisasi Nota, namun TIDAK ikut dijumlahkan ke Total Potongan &amp; Harga Final yang dibayar ke petani - petani berpotensi dibayar lebih besar dari seharusnya.</t>
  </si>
  <si>
    <t>1 Defect Major: Audit Trail tidak auto-load data existing saat modul dibuka (DEF-003).</t>
  </si>
  <si>
    <t>Mesin kalkulasi PROFIT PENGIRIMAN (financialCalculations.ts) - bagian PALING KRITIKAL dari sistem ini - LULUS UJI dgn sangat akurat end-to-end (lihat TC-KIRIM-010).</t>
  </si>
  <si>
    <t>Dari 149 test case diturunkan dari checklist dokumen §6-7: 48 Pass, 10 Fail, 3 Blocked (kendala hardware), 88 Not Executed (di luar cakupan waktu sesi ini - lihat kolom "Catatan" tiap baris utk alasan spesifik &amp; rekomendasi tindak lanjut).</t>
  </si>
  <si>
    <t>DAFTAR ISI WORKBOOK</t>
  </si>
  <si>
    <t>Ringkasan Eksekusi</t>
  </si>
  <si>
    <t>Dashboard rekap Pass/Fail/Not Executed per modul &amp; prioritas, kriteria Exit</t>
  </si>
  <si>
    <t>Test Case Detail</t>
  </si>
  <si>
    <t>Seluruh 149 test case: ID, Modul, Precondition, Langkah, Expected, Actual, Status, Prioritas, Role Penguji</t>
  </si>
  <si>
    <t>Defect Log</t>
  </si>
  <si>
    <t>8 temuan defect dgn severity, langkah reproduksi, dampak, rekomendasi</t>
  </si>
  <si>
    <t>Traceability Matrix</t>
  </si>
  <si>
    <t>Pemetaan Critical User Journey (§5 dokumen) ke test case terkait</t>
  </si>
  <si>
    <t>Sign-off</t>
  </si>
  <si>
    <t>Catatan persetujuan &amp; status Exit Criteria untuk Product Owner</t>
  </si>
  <si>
    <t>ID Test Case</t>
  </si>
  <si>
    <t>Modul</t>
  </si>
  <si>
    <t>No.</t>
  </si>
  <si>
    <t>Skenario Pengujian</t>
  </si>
  <si>
    <t>Precondition</t>
  </si>
  <si>
    <t>Langkah Pengujian</t>
  </si>
  <si>
    <t>Expected Result</t>
  </si>
  <si>
    <t>Actual Result</t>
  </si>
  <si>
    <t>Status</t>
  </si>
  <si>
    <t>Prioritas</t>
  </si>
  <si>
    <t>Role Penguji</t>
  </si>
  <si>
    <t>Defect ID</t>
  </si>
  <si>
    <t>Catatan</t>
  </si>
  <si>
    <t>TC-AUTH-001</t>
  </si>
  <si>
    <t>AUTH</t>
  </si>
  <si>
    <t>Login sukses dengan akun default (7 akun)</t>
  </si>
  <si>
    <t>Browser dalam kondisi logout (erp_explicit_logout=true). Kredensial sesuai Lampiran 4.1.</t>
  </si>
  <si>
    <t xml:space="preserve">1. Buka halaman login.
2. Input username &amp; password akun target.
3. Klik 'Masuk ke Sistem ERP'.
4. Amati redirect &amp; sidebar modul.</t>
  </si>
  <si>
    <t>Login berhasil, redirect ke modul-home, sidebar menampilkan modul sesuai role.</t>
  </si>
  <si>
    <t>Diuji 6 dari 7 akun (superadmin, adminsortir, admintimbang, adminkasir, adminpengiriman, kepalagudang) via tombol 'Akses Cepat Pengujian Role' &amp; input manual. Semua berhasil login, redirect ke Dasbor Menu Utama, sidebar sesuai role. adminsortir_b (role sama dgn adminsortir) tidak diuji terpisah karena kredensial identik secara fungsi.</t>
  </si>
  <si>
    <t>Pass</t>
  </si>
  <si>
    <t>P0</t>
  </si>
  <si>
    <t>Semua Role</t>
  </si>
  <si>
    <t/>
  </si>
  <si>
    <t>TC-AUTH-002</t>
  </si>
  <si>
    <t>Login dengan username salah</t>
  </si>
  <si>
    <t>Browser dalam kondisi logout.</t>
  </si>
  <si>
    <t xml:space="preserve">1. Input username 'usersalah' (tidak terdaftar).
2. Input password apa saja.
3. Klik Masuk.</t>
  </si>
  <si>
    <t>Pesan error: 'Username atau email tidak terdaftar dalam sistem.'</t>
  </si>
  <si>
    <t>Pesan error tampil persis sesuai ekspektasi: 'Username atau email tidak terdaftar dalam sistem.' Tidak ada redirect / login berhasil.</t>
  </si>
  <si>
    <t>Guest</t>
  </si>
  <si>
    <t>TC-AUTH-003</t>
  </si>
  <si>
    <t>Login dengan password salah</t>
  </si>
  <si>
    <t>Username valid (superadmin), password salah.</t>
  </si>
  <si>
    <t xml:space="preserve">1. Input username 'superadmin'.
2. Input password 'passwordsalah'.
3. Klik Masuk.</t>
  </si>
  <si>
    <t>Pesan error: 'Kata sandi (password) yang Anda masukkan salah.'</t>
  </si>
  <si>
    <t>Pesan error tampil persis sesuai ekspektasi. Login ditolak.</t>
  </si>
  <si>
    <t>TC-AUTH-004</t>
  </si>
  <si>
    <t>Login dengan akun status_aktif=false</t>
  </si>
  <si>
    <t>Tersedia 1 akun user dengan status_aktif=false.</t>
  </si>
  <si>
    <t xml:space="preserve">1. Input username/password akun nonaktif.
2. Klik Masuk.</t>
  </si>
  <si>
    <t>Pesan error akun dinonaktifkan, login ditolak.</t>
  </si>
  <si>
    <t>Tidak dieksekusi - tidak ada akun nonaktif tersedia di dataset demo; pembuatan akun nonaktif memerlukan modul Manajemen Pengguna yang tidak sempat diuji CRUD-nya di sesi ini.</t>
  </si>
  <si>
    <t>Not Executed</t>
  </si>
  <si>
    <t>TC-AUTH-005</t>
  </si>
  <si>
    <t>Login menggunakan email sebagai identifier</t>
  </si>
  <si>
    <t>Diketahui alamat email salah satu user (mis. rahmat.sulistyo@sekar...).</t>
  </si>
  <si>
    <t xml:space="preserve">1. Input email pada field username.
2. Input password benar.
3. Klik Masuk.</t>
  </si>
  <si>
    <t>Login berhasil menggunakan email.</t>
  </si>
  <si>
    <t>Tidak dieksekusi pada sesi ini (waktu pengujian terbatas, diprioritaskan pada alur bisnis kritikal).</t>
  </si>
  <si>
    <t>P1</t>
  </si>
  <si>
    <t>TC-AUTH-006</t>
  </si>
  <si>
    <t>Username/email case-insensitive</t>
  </si>
  <si>
    <t>Browser logout.</t>
  </si>
  <si>
    <t xml:space="preserve">1. Input username 'SuperAdmin' (variasi kapitalisasi).
2. Input password 'admin123'.
3. Klik Masuk.</t>
  </si>
  <si>
    <t>Login berhasil walau kapitalisasi berbeda.</t>
  </si>
  <si>
    <t>Login berhasil dengan username 'SuperAdmin', redirect ke Dasbor Menu Utama sebagai Bpk. H. Rahmat Sulistyo (Super Admin). Case-insensitivity terbukti berfungsi.</t>
  </si>
  <si>
    <t>TC-AUTH-007</t>
  </si>
  <si>
    <t>Validasi field kosong (username/password)</t>
  </si>
  <si>
    <t>Browser logout, kedua field kosong.</t>
  </si>
  <si>
    <t xml:space="preserve">1. Kosongkan username &amp; password.
2. Klik 'Masuk ke Sistem ERP'.</t>
  </si>
  <si>
    <t>Validasi form muncul, submit dicegah.</t>
  </si>
  <si>
    <t>Submit dicegah oleh validasi native HTML5 (atribut required=true terverifikasi pada kedua input via DOM inspection); tidak ada custom pesan validasi kustom ditampilkan, hanya browser-native constraint validation.</t>
  </si>
  <si>
    <t>Rekomendasi: pertimbangkan pesan validasi kustom yang konsisten dgn gaya pesan error lain di form ini (bukan browser-native).</t>
  </si>
  <si>
    <t>TC-AUTH-008</t>
  </si>
  <si>
    <t>Refresh halaman (F5) setelah login, sesi tetap aktif</t>
  </si>
  <si>
    <t>User sudah login.</t>
  </si>
  <si>
    <t xml:space="preserve">1. Login sebagai user manapun.
2. Tekan F5 / reload halaman.
3. Amati apakah sesi tetap login.</t>
  </si>
  <si>
    <t>Sesi tetap aktif, tidak logout paksa.</t>
  </si>
  <si>
    <t>Tidak diuji sebagai skenario terisolasi eksplisit pada sesi ini, namun perilaku ini teramati secara tidak langsung berkali-kali selama testing (banyak navigasi ke localhost:3000 dilakukan tanpa logout dan sesi selalu tetap aktif).</t>
  </si>
  <si>
    <t>Perilaku teramati konsisten secara insidental; direkomendasikan uji eksplisit terpisah pada regresi berikutnya.</t>
  </si>
  <si>
    <t>TC-AUTH-009</t>
  </si>
  <si>
    <t>Logout eksplisit -&gt; flag tersimpan -&gt; refresh tidak auto-login</t>
  </si>
  <si>
    <t>User sudah login sebagai superadmin.</t>
  </si>
  <si>
    <t xml:space="preserve">1. Klik menu akun &gt; 'Keluar (Logout)'.
2. Amati redirect ke halaman login.
3. Reload/navigate ulang ke URL yang sama.</t>
  </si>
  <si>
    <t>Kembali ke Login View; localStorage erp_explicit_logout=true; refresh TIDAK auto-login kembali.</t>
  </si>
  <si>
    <t>Setelah klik Logout, halaman Login tampil (form username/password + tombol akses cepat role). Setelah navigate ulang ke http://localhost:3000, sistem TETAP menampilkan halaman Login (tidak auto-login). Perilaku sesuai ekspektasi dokumen.</t>
  </si>
  <si>
    <t>TC-AUTH-010</t>
  </si>
  <si>
    <t>Tutup tab &amp; buka tab baru tanpa logout</t>
  </si>
  <si>
    <t>User sudah login (belum logout eksplisit).</t>
  </si>
  <si>
    <t xml:space="preserve">1. Buka tab baru ke URL yang sama.
2. Amati status sesi.</t>
  </si>
  <si>
    <t>Sesi tetap login di tab baru (localStorage shared antar tab origin sama).</t>
  </si>
  <si>
    <t>Tidak dieksekusi secara eksplisit pada sesi ini.</t>
  </si>
  <si>
    <t>TC-AUTH-011</t>
  </si>
  <si>
    <t>Hapus localStorage manual -&gt; auto-heal login sbg superadmin</t>
  </si>
  <si>
    <t>User login, kemudian seluruh localStorage dihapus via DevTools/Console.</t>
  </si>
  <si>
    <t xml:space="preserve">1. Jalankan localStorage.clear() via console (mensimulasikan kondisi 'localStorage kosong' / first-time visit).
2. Reload/navigate ulang ke aplikasi.
3. Amati apakah muncul Login View atau auto-login.</t>
  </si>
  <si>
    <t>Dokumen meminta VERIFIKASI apakah perilaku ini disengaja (demo convenience) atau merupakan celah keamanan yang harus ditutup sebelum produksi.</t>
  </si>
  <si>
    <t>TEMUAN KEAMANAN KRITIKAL (lihat DEF-001). Setelah localStorage.clear() (mensimulasikan browser benar-benar baru / first-time visit, BUKAN sekadar 'sesi hilang tapi user aktif ada' seperti diasumsikan dokumen), aplikasi TIDAK PERNAH menampilkan Login View sama sekali - sistem langsung auto-login sebagai Super Admin (Bpk. H. Rahmat Sulistyo) dengan akses penuh tanpa kredensial apapun. Root cause: fungsi loadCurrentUser() di src/utils/storage.ts baris 173-180 melakukan fallback otomatis ke user superadmin aktif pertama setiap kali tidak ada sesi tersimpan DAN flag logout tidak di-set - kondisi ini juga terpenuhi pada kunjungan pertama kali (fresh browser), bukan hanya pada 'sesi hilang'. Ini adalah CELAH KEAMANAN, bukan hanya pertanyaan desain.</t>
  </si>
  <si>
    <t>Fail</t>
  </si>
  <si>
    <t>DEF-001</t>
  </si>
  <si>
    <t>Blocker-level security defect. Wajib ditutup sebelum go-live produksi.</t>
  </si>
  <si>
    <t>TC-AUTH-012</t>
  </si>
  <si>
    <t>terakhir_login tercatat benar (ISO timestamp)</t>
  </si>
  <si>
    <t>User login sukses.</t>
  </si>
  <si>
    <t xml:space="preserve">1. Login.
2. Cek field terakhir_login pada data user (via localStorage/DevTools).</t>
  </si>
  <si>
    <t>Timestamp ISO akurat sesuai waktu login.</t>
  </si>
  <si>
    <t>Tidak dieksekusi secara langsung (memerlukan inspeksi field data user mentah yang tidak diprioritaskan pada sesi ini).</t>
  </si>
  <si>
    <t>P2</t>
  </si>
  <si>
    <t>TC-AUTH-013</t>
  </si>
  <si>
    <t>XSS pada field username/password</t>
  </si>
  <si>
    <t xml:space="preserve">1. Input '&lt;script&gt;alert(1)&lt;/script&gt;' pada field username.
2. Input teks bebas pada password.
3. Klik Masuk.
4. Amati apakah script tereksekusi (alert popup) dan bagaimana input diperlakukan.</t>
  </si>
  <si>
    <t>Input di-escape/tidak dieksekusi sebagai kode; ditolak sebagai username tidak valid.</t>
  </si>
  <si>
    <t>Payload XSS tidak tereksekusi (tidak ada alert popup, tidak ada error console terkait). React merender payload sebagai teks literal di dalam field. Sistem menganggapnya sebagai username tidak valid dan menampilkan pesan 'Username atau email tidak terdaftar dalam sistem.' Login form AMAN dari XSS reflected sederhana.</t>
  </si>
  <si>
    <t>TC-AUTH-014</t>
  </si>
  <si>
    <t>Multi-tab: login user berbeda di tab berbeda</t>
  </si>
  <si>
    <t>2 tab browser terbuka pada origin yang sama.</t>
  </si>
  <si>
    <t xml:space="preserve">1. Tab 1: login sbg user A.
2. Tab 2: login sbg user B.
3. Amati sinkronisasi/konflik sesi antar tab.</t>
  </si>
  <si>
    <t>Perilaku sinkronisasi/konflik terverifikasi &amp; terdokumentasi (localStorage dibagi antar tab origin sama, sehingga user B kemungkinan akan menimpa sesi tab 1 saat difokuskan ulang).</t>
  </si>
  <si>
    <t>Tidak dieksekusi pada sesi ini (memerlukan orkestrasi 2 tab paralel yang di luar cakupan waktu pengujian saat ini).</t>
  </si>
  <si>
    <t>TC-RBAC-001</t>
  </si>
  <si>
    <t>RBAC</t>
  </si>
  <si>
    <t>Sidebar hanya tampilkan modul sesuai allowedModules per role</t>
  </si>
  <si>
    <t>Kredensial 7 role tersedia (lihat Lampiran 4.1/4.2).</t>
  </si>
  <si>
    <t xml:space="preserve">1. Login sebagai masing-masing role.
2. Buka 'Menu Akses Anda' / sidebar.
3. Bandingkan daftar modul dengan Matriks Kapabilitas §4.2.</t>
  </si>
  <si>
    <t>Daftar modul persis sesuai matriks role.</t>
  </si>
  <si>
    <t>Diverifikasi untuk 6 role (superadmin=19 modul termasuk Manajemen Pengguna &amp; Audit Trail; admin_sortir=13 modul termasuk Master Petani/Harga/Sortir tanpa Timbangan/Kasir/User; admin_timbang=HANYA 2 modul yaitu Home+Timbangan; admin_kasir=11 modul termasuk Sortir/Timbangan/Kasir/Laporan tanpa Master Data write/User; admin_pengiriman=6 modul yaitu Pengiriman Sample/DO/Status Batch/Harga Jual/Laporan Pengiriman; kepala_gudang=9 modul read-only Dashboard &amp; seluruh Laporan + Status Batch). Seluruhnya PERSIS sesuai Matriks Kapabilitas §4.2 dokumen.</t>
  </si>
  <si>
    <t>TC-RBAC-002</t>
  </si>
  <si>
    <t>Bypass modul terlarang via manipulasi localStorage active_module</t>
  </si>
  <si>
    <t>Login sebagai admin_timbang (role paling terbatas).</t>
  </si>
  <si>
    <t xml:space="preserve">1. Login sbg admin_timbang.
2. Jalankan localStorage.setItem('erp_tembakau_active_module','modul-users') via console.
3. Reload/navigate ulang halaman.
4. Amati apakah modul-users (Manajemen Pengguna) berhasil diakses.</t>
  </si>
  <si>
    <t>Sistem redirect balik ke modul-home, TIDAK menampilkan konten modul terlarang.</t>
  </si>
  <si>
    <t>Setelah manipulasi localStorage dan reload, sistem TIDAK menampilkan modul Manajemen Pengguna - otomatis redirect kembali ke Dasbor Menu Utama (Home) sesuai hak akses admin_timbang yang sebenarnya. RBAC enforcement lolos uji bypass sederhana ini (defense-in-depth di luar hanya menyembunyikan menu UI).</t>
  </si>
  <si>
    <t>Admin Timbang</t>
  </si>
  <si>
    <t>TC-RBAC-003</t>
  </si>
  <si>
    <t>admin_timbang hanya bisa masuk modul Timbangan</t>
  </si>
  <si>
    <t>Login sebagai admin_timbang.</t>
  </si>
  <si>
    <t xml:space="preserve">1. Login.
2. Amati seluruh sidebar &amp; 'Menu Akses Anda'.</t>
  </si>
  <si>
    <t>Hanya menu Home &amp; Timbangan yang ada/dapat diklik; modul lain benar-benar tidak ada (bukan sekadar disabled).</t>
  </si>
  <si>
    <t>Konfirmasi: 'Menu Akses Anda (Admin Timbang)' hanya menampilkan 2 baris: Home dan Timbangan ('Menampilkan 2 modul aktif sesuai wewenang peran Admin Timbang'). Tidak ada elemen menu lain yang dapat diklik sama sekali.</t>
  </si>
  <si>
    <t>TC-RBAC-004</t>
  </si>
  <si>
    <t>kepala_gudang tidak bisa melakukan aksi tulis (create/edit/delete)</t>
  </si>
  <si>
    <t>Login sebagai kepala_gudang.</t>
  </si>
  <si>
    <t xml:space="preserve">1. Login.
2. Amati seluruh modul yang tersedia (9 modul: Dashboard + 6 Laporan + Status Batch).
3. Pastikan tidak ada modul write (Sortir/Timbang/Kasir/Master Data/Pengiriman/User) yang bisa diakses.</t>
  </si>
  <si>
    <t>Hanya modul baca (laporan &amp; dashboard) yang tersedia; tidak ada aksi tulis yang dapat dijangkau dari UI.</t>
  </si>
  <si>
    <t>Sidebar/menu kepala_gudang hanya berisi Dashboard Analytic + 6 modul Laporan (read-only) + Status &amp; Detail Batch. Tidak satupun modul dengan kapabilitas create/edit/delete (Sortir, Timbangan, Kasir, Master Petani/Harga, Pengiriman, Manajemen User) muncul di menu, sehingga tidak ada aksi tulis yang terjangkau via UI normal.</t>
  </si>
  <si>
    <t>Kepala Gudang</t>
  </si>
  <si>
    <t>TC-RBAC-005</t>
  </si>
  <si>
    <t>Tombol 'Kelola User' &amp; 'Audit Trail' hanya untuk superadmin</t>
  </si>
  <si>
    <t>Kredensial semua role tersedia.</t>
  </si>
  <si>
    <t xml:space="preserve">1. Login sebagai masing-masing dari 6 role non-superadmin.
2. Cari elemen 'Kelola User'/'Manajemen Pengguna'/'Audit Trail' di UI.</t>
  </si>
  <si>
    <t>Elemen tersebut TIDAK muncul untuk role selain superadmin.</t>
  </si>
  <si>
    <t>Dikonfirmasi tidak ada satupun dari 6 role non-superadmin (admin_sortir, admin_timbang, admin_kasir, admin_pengiriman, kepala_gudang, dan varian adminsortir_b) yang menampilkan menu 'Manajemen Pengguna (RBAC)' atau 'Audit Trail'. Hanya superadmin yang memiliki modul ke-19 'Manajemen Pengguna (RBAC)' berisi kedua fitur tsb.</t>
  </si>
  <si>
    <t>TC-RBAC-006</t>
  </si>
  <si>
    <t>Deactivate user yang sedang login di sesi lain -&gt; kehilangan akses saat refresh</t>
  </si>
  <si>
    <t>2 sesi browser, salah satu user dinonaktifkan superadmin dari sesi lain.</t>
  </si>
  <si>
    <t xml:space="preserve">1. User A login di sesi 1.
2. Superadmin nonaktifkan user A dari sesi 2.
3. Refresh sesi 1.
4. Amati apakah user A kehilangan akses.</t>
  </si>
  <si>
    <t>Sesi user A kehilangan akses setelah refresh berikutnya.</t>
  </si>
  <si>
    <t>Tidak dieksekusi pada sesi ini (memerlukan 2 sesi paralel &amp; modul CRUD User yang tidak sempat diuji).</t>
  </si>
  <si>
    <t>Superadmin</t>
  </si>
  <si>
    <t>TC-RBAC-007</t>
  </si>
  <si>
    <t>Role Matrix Modal identik dengan tabel dokumentasi §4.2</t>
  </si>
  <si>
    <t>Login sebagai superadmin, buka 'Matriks Wewenang' pada modul Manajemen Pengguna.</t>
  </si>
  <si>
    <t xml:space="preserve">1. Buka Manajemen Pengguna.
2. Klik tombol 'Matriks Wewenang'.
3. Bandingkan isi modal dengan tabel §4.2.</t>
  </si>
  <si>
    <t>Data pada modal identik dengan dokumentasi (tidak ada penyimpangan implementasi vs dokumen).</t>
  </si>
  <si>
    <t>Tidak dieksekusi - tombol 'Matriks Wewenang' teramati ada di UI Manajemen Pengguna namun tidak sempat dibuka/dibandingkan detail isinya pada sesi ini. Verifikasi tidak langsung (via observasi behavior 6 role di RBAC-001) menunjukkan behavior aktual KONSISTEN dgn §4.2.</t>
  </si>
  <si>
    <t>TC-PETANI-001</t>
  </si>
  <si>
    <t>PETANI</t>
  </si>
  <si>
    <t>Tambah petani baru -&gt; ID auto-generate PTN-YYYY-XXX berurutan</t>
  </si>
  <si>
    <t>Login sbg admin_sortir/superadmin. Jumlah petani existing diketahui (34).</t>
  </si>
  <si>
    <t xml:space="preserve">1. Buka Master Petani.
2. Klik 'Tambah Petani Baru'.
3. Amati field 'ID Petani (Otomatis Sistem)'.</t>
  </si>
  <si>
    <t>ID otomatis terisi format PTN-YYYY-XXX, urut setelah ID terakhir (mis. 34 data -&gt; ID baru 035).</t>
  </si>
  <si>
    <t>Field ID Petani otomatis terisi 'PTN-2026-035' (petani ke-35, setelah 34 data existing), format PTN-YYYY-XXX sesuai, tahun 2026 sesuai tanggal sistem (13-09-2026), field read-only/disabled tidak bisa diedit manual.</t>
  </si>
  <si>
    <t>Admin Sortir</t>
  </si>
  <si>
    <t>TC-PETANI-002</t>
  </si>
  <si>
    <t>Tambah petani dengan field wajib kosong</t>
  </si>
  <si>
    <t>Form Tambah Petani Baru terbuka, semua field kosong.</t>
  </si>
  <si>
    <t>1. Klik 'Simpan Petani' tanpa mengisi apapun.</t>
  </si>
  <si>
    <t>Validasi muncul untuk Nama Petani, Nomor HP, dan Alamat Lengkap.</t>
  </si>
  <si>
    <t>Validasi inline muncul tepat di bawah masing-masing field: 'Nama petani wajib diisi (minimal 2 karakter).', 'Nomor HP wajib diisi (minimal 9 digit angka).', 'Alamat lengkap petani wajib diisi.' Submit dicegah.</t>
  </si>
  <si>
    <t>TC-PETANI-003</t>
  </si>
  <si>
    <t>Nomor HP: format numerik, panjang tidak wajar, karakter non-digit</t>
  </si>
  <si>
    <t>Form Tambah Petani Baru.</t>
  </si>
  <si>
    <t xml:space="preserve">1. Input berbagai variasi No HP tidak valid (huruf, simbol, terlalu pendek/panjang).
2. Amati validasi.</t>
  </si>
  <si>
    <t>Validasi menolak format tidak valid.</t>
  </si>
  <si>
    <t>Tidak dieksekusi secara spesifik (hanya diuji kondisi kosong pada PETANI-002); variasi format invalid non-kosong tidak dicoba pada sesi ini.</t>
  </si>
  <si>
    <t>TC-PETANI-004</t>
  </si>
  <si>
    <t>Edit data petani -&gt; perubahan tersimpan &amp; tampil</t>
  </si>
  <si>
    <t>Data petani existing tersedia.</t>
  </si>
  <si>
    <t xml:space="preserve">1. Buka detail/edit salah satu petani.
2. Ubah data (mis. alamat).
3. Simpan.
4. Cek tabel &amp; detail drawer.</t>
  </si>
  <si>
    <t>Perubahan tersimpan dan konsisten tampil di tabel &amp; drawer detail.</t>
  </si>
  <si>
    <t>Tidak dieksekusi pada sesi ini.</t>
  </si>
  <si>
    <t>TC-PETANI-005</t>
  </si>
  <si>
    <t>Nonaktifkan petani -&gt; riwayat transaksi lama tetap utuh</t>
  </si>
  <si>
    <t>Petani dengan riwayat transaksi tersedia.</t>
  </si>
  <si>
    <t xml:space="preserve">1. Nonaktifkan petani via modal deactivate.
2. Cek petani tidak lagi bisa dipilih di transaksi baru.
3. Cek riwayat transaksi lama petani tsb masih utuh.</t>
  </si>
  <si>
    <t>status_aktif=false; tidak muncul di pemilihan transaksi baru; riwayat lama tetap ada.</t>
  </si>
  <si>
    <t>TC-PETANI-006</t>
  </si>
  <si>
    <t>Reset ID Card petani -&gt; tercatat di audit trail</t>
  </si>
  <si>
    <t>Data petani tersedia.</t>
  </si>
  <si>
    <t xml:space="preserve">1. Buka modal Reset ID Card.
2. Konfirmasi reset.
3. Cek Audit Trail (superadmin).</t>
  </si>
  <si>
    <t>Reset berhasil; entri baru muncul di Audit Trail dengan detail aksi reset.</t>
  </si>
  <si>
    <t>TC-PETANI-007</t>
  </si>
  <si>
    <t>Cetak Kartu ID Petani -&gt; PDF/kartu dgn barcode terbaca ulang</t>
  </si>
  <si>
    <t xml:space="preserve">1. Klik 'Cetak ID Card Petani'.
2. Amati preview/hasil cetak, barcode/ID yang tertera.</t>
  </si>
  <si>
    <t>PDF/kartu berisi barcode/ID sesuai &amp; idealnya terbaca ulang scanner.</t>
  </si>
  <si>
    <t>Tidak dieksekusi pada sesi ini (tombol 'Cetak ID Card Petani' teramati ada di tabel Master Petani, namun tidak diklik).</t>
  </si>
  <si>
    <t>TC-PETANI-008</t>
  </si>
  <si>
    <t>Import CSV massal - file valid</t>
  </si>
  <si>
    <t>File CSV valid berisi data petani baru tersedia.</t>
  </si>
  <si>
    <t xml:space="preserve">1. Klik Import/Export.
2. Upload file CSV valid.
3. Amati hasil import.</t>
  </si>
  <si>
    <t>Seluruh baris masuk tanpa duplikasi petani_id.</t>
  </si>
  <si>
    <t>Tidak dieksekusi pada sesi ini (tombol 'Import / Export' teramati ada namun tidak digunakan).</t>
  </si>
  <si>
    <t>TC-PETANI-009</t>
  </si>
  <si>
    <t>Import CSV - baris duplikat/kolom hilang/karakter aneh</t>
  </si>
  <si>
    <t>File CSV bermasalah (duplikat ID, kolom hilang, koma dalam nama, emoji/UTF-8).</t>
  </si>
  <si>
    <t xml:space="preserve">1. Upload file CSV bermasalah.
2. Amati penanganan error.</t>
  </si>
  <si>
    <t>Error handling jelas, data existing tidak korup.</t>
  </si>
  <si>
    <t>TC-PETANI-010</t>
  </si>
  <si>
    <t>Export CSV -&gt; round-trip (export-import-data identik)</t>
  </si>
  <si>
    <t xml:space="preserve">1. Export data petani ke CSV.
2. Buka file hasil export.
3. Import kembali file tsb.
4. Bandingkan data.</t>
  </si>
  <si>
    <t>File lengkap, dapat dibuka, dan data identik setelah round-trip.</t>
  </si>
  <si>
    <t>TC-PETANI-011</t>
  </si>
  <si>
    <t>Pencarian &amp; filter petani (nama/ID/status/desa)</t>
  </si>
  <si>
    <t>Data petani tersedia (35 data setelah PETANI-001).</t>
  </si>
  <si>
    <t xml:space="preserve">1. Gunakan search box &amp; filter Status/Urutan pada Master Petani.
2. Uji beberapa kombinasi filter.</t>
  </si>
  <si>
    <t>Hasil pencarian/filter akurat sesuai kriteria.</t>
  </si>
  <si>
    <t>Tidak dieksekusi secara mendalam pada sesi ini (filter Status &amp; Urutan ID teramati tersedia di UI Master Petani, tidak diuji kombinasinya).</t>
  </si>
  <si>
    <t>TC-PETANI-012</t>
  </si>
  <si>
    <t>Pagination tabel petani dengan &gt;34 data</t>
  </si>
  <si>
    <t>35 data petani tersedia (setelah PETANI-001).</t>
  </si>
  <si>
    <t xml:space="preserve">1. Set 'Tampil per hal.' ke nilai kecil (10).
2. Navigasi halaman pertama/terakhir/pindah halaman.</t>
  </si>
  <si>
    <t>Pagination bekerja benar untuk &gt;34 data.</t>
  </si>
  <si>
    <t>Tidak dieksekusi secara eksplisit; kontrol 'Tampil 10/25/50/100/250/500 per hal.' teramati tersedia di UI namun navigasi halaman tidak diuji langsung.</t>
  </si>
  <si>
    <t>TC-PETANI-013</t>
  </si>
  <si>
    <t>Statistik petani (total_setoran_bal, total_berat_kg, grade_dominan) auto-update</t>
  </si>
  <si>
    <t>Transaksi baru untuk seorang petani baru selesai (Sortir-&gt;Timbang-&gt;Kasir).</t>
  </si>
  <si>
    <t xml:space="preserve">1. Selesaikan 1 transaksi penuh untuk seorang petani.
2. Cek kolom statistik petani tsb di Master Petani/Detail Drawer.</t>
  </si>
  <si>
    <t>Statistik ter-update otomatis (Total Bal, dsb).</t>
  </si>
  <si>
    <t>Tidak diverifikasi secara eksplisit pasca transaksi KUP0001 selesai (3 bal, petani PTN-2026-035); kolom 'Total Bal' pada tabel Master Petani tidak dicek ulang setelah transaksi selesai pada sesi ini.</t>
  </si>
  <si>
    <t>Rekomendasi: prioritaskan verifikasi ini pada siklus regresi berikutnya karena berdampak pada akurasi laporan Petani &amp; Setoran.</t>
  </si>
  <si>
    <t>TC-PETANI-014</t>
  </si>
  <si>
    <t>Barcode scanner (HID keyboard wedge) memanggil data petani dgn benar</t>
  </si>
  <si>
    <t>Perangkat scanner fisik tersedia.</t>
  </si>
  <si>
    <t xml:space="preserve">1. Scan barcode ID petani secara cepat berturut-turut (&lt;50ms antar karakter, diakhiri Enter).
2. Amati data petani yang terpanggil.</t>
  </si>
  <si>
    <t>Data petani yang tepat terpanggil sesuai barcode yang discan.</t>
  </si>
  <si>
    <t>Tidak dapat dieksekusi - memerlukan perangkat hardware fisik (barcode scanner USB) yang tidak tersedia pada environment pengujian berbasis browser otomatis ini.</t>
  </si>
  <si>
    <t>Blocked</t>
  </si>
  <si>
    <t>Admin Sortir/Timbang</t>
  </si>
  <si>
    <t>Memerlukan pengujian manual di perangkat loket fisik.</t>
  </si>
  <si>
    <t>TC-PETANI-015</t>
  </si>
  <si>
    <t>Input manual cepat (paste) tidak salah terdeteksi sbg scan barcode</t>
  </si>
  <si>
    <t>Field input No Bal / ID petani tersedia.</t>
  </si>
  <si>
    <t xml:space="preserve">1. Paste teks cepat ke field yang BUKAN scanner-dedicated.
2. Amati apakah salah terdeteksi sbg scan.</t>
  </si>
  <si>
    <t>Tidak salah terdeteksi sebagai scan jika bukan dari field yang tepat.</t>
  </si>
  <si>
    <t>Tidak dapat dieksekusi sepenuhnya tanpa hardware scanner sungguhan untuk perbandingan; berkaitan dengan PETANI-014.</t>
  </si>
  <si>
    <t>TC-HARGA-BELI-001</t>
  </si>
  <si>
    <t>HARGA-BELI</t>
  </si>
  <si>
    <t>Tambah harga grade baru</t>
  </si>
  <si>
    <t>Login superadmin/admin_sortir, buka Master Harga Beli.</t>
  </si>
  <si>
    <t xml:space="preserve">1. Tambah entri grade baru (kode_grade, harga_per_kg, tanggal_berlaku).
2. Simpan.</t>
  </si>
  <si>
    <t>Entri baru tersimpan &amp; tampil di daftar.</t>
  </si>
  <si>
    <t>Tidak dieksekusi pada sesi ini. Modul Master Harga Beli teramati berisi 41 kode grade (30-70) saat digunakan secara tidak langsung di modul Sortir.</t>
  </si>
  <si>
    <t>TC-HARGA-BELI-002</t>
  </si>
  <si>
    <t>Ubah harga grade aktif -&gt; riwayat tersimpan di HargaHistoryModal</t>
  </si>
  <si>
    <t>Data grade existing tersedia.</t>
  </si>
  <si>
    <t xml:space="preserve">1. Ubah harga_per_kg suatu grade.
2. Buka riwayat perubahan (HargaHistoryModal).</t>
  </si>
  <si>
    <t>Riwayat perubahan tersimpan &amp; dapat dilihat.</t>
  </si>
  <si>
    <t>TC-HARGA-BELI-003</t>
  </si>
  <si>
    <t>Kode grade duplikat/format tidak valid ditolak</t>
  </si>
  <si>
    <t>Form tambah grade terbuka.</t>
  </si>
  <si>
    <t xml:space="preserve">1. Input kode_grade duplikat atau &gt;3 karakter/tidak diawali huruf.
2. Simpan.</t>
  </si>
  <si>
    <t>Validasi menolak input tidak valid.</t>
  </si>
  <si>
    <t>TC-HARGA-BELI-004</t>
  </si>
  <si>
    <t>Nonaktifkan grade -&gt; tidak muncul di transaksi baru, transaksi lama tetap snapshot lama</t>
  </si>
  <si>
    <t>Grade aktif dgn riwayat transaksi tersedia.</t>
  </si>
  <si>
    <t xml:space="preserve">1. Nonaktifkan status grade.
2. Cek dropdown grade di transaksi baru (Sortir).
3. Cek transaksi lama yang memakai grade tsb.</t>
  </si>
  <si>
    <t>Grade nonaktif hilang dari opsi baru; transaksi lama tetap menampilkan harga snapshot lama.</t>
  </si>
  <si>
    <t>TC-HARGA-BELI-005</t>
  </si>
  <si>
    <t>Perubahan harga grade TIDAK mengubah retroaktif transaksi selesai (snapshot)</t>
  </si>
  <si>
    <t>Transaksi selesai dengan grade tertentu tersedia.</t>
  </si>
  <si>
    <t xml:space="preserve">1. Ubah harga_per_kg grade yang dipakai transaksi lama.
2. Cek apakah harga di transaksi lama ikut berubah.</t>
  </si>
  <si>
    <t>Harga di transaksi lama TIDAK berubah (harga di-snapshot saat transaksi dibuat) - KRITIKAL KEUANGAN.</t>
  </si>
  <si>
    <t>Tidak dieksekusi langsung sebagai skenario ubah-harga-lalu-cek-transaksi-lama. NAMUN, terverifikasi secara TIDAK LANGSUNG dan KUAT via pengamatan sepanjang pengujian: field harga_per_kg di-input manual per-bal pada tahap Sortir (Rp30.000/Rp31.000) dan nilai tsb konsisten dipakai persis di seluruh tahap berikutnya (Timbang, Kasir/Nota, Barang Gudang) tanpa berubah - mengindikasikan arsitektur snapshot-per-bal memang diterapkan, konsisten dgn kode financialCalculations.ts yang eksplisit menggunakan bal.harga_per_kg (bukan harga master terkini) sbg sumber kalkulasi.</t>
  </si>
  <si>
    <t>Kode di src/utils/financialCalculations.ts baris 44 &amp; 108-109 &amp; 184 mengkonfirmasi desain snapshot-first (fallback ke harga master HANYA jika field harga_per_kg bal kosong). Rekomendasi: tetap lakukan uji eksplisit ubah-harga-retroaktif pada siklus berikutnya untuk kepastian 100%.</t>
  </si>
  <si>
    <t>TC-HARGA-BELI-006</t>
  </si>
  <si>
    <t>rate_potongan_per_bal &amp; berat_standar_kg per grade dipakai benar di Kasir</t>
  </si>
  <si>
    <t>Grade dgn rate_potongan_per_bal/berat_standar_kg custom tersedia.</t>
  </si>
  <si>
    <t xml:space="preserve">1. Buat transaksi dgn grade tsb.
2. Verifikasi kalkulasi Kasir memakai rate custom.</t>
  </si>
  <si>
    <t>Kalkulasi memakai rate sesuai master grade.</t>
  </si>
  <si>
    <t>Tidak dieksekusi pada sesi ini; pada data demo yang digunakan, potongan kuli/tali bersifat konstan universal Rp7.000/Rp3.000 (tidak per-grade), sehingga skenario rate custom per-grade tidak teruji.</t>
  </si>
  <si>
    <t>TC-HARGA-BELI-007</t>
  </si>
  <si>
    <t>Tanggal berlaku vs berakhir - rentang tumpang tindih antar entri harga grade sama</t>
  </si>
  <si>
    <t>Beberapa entri harga utk grade sama dgn tanggal berbeda.</t>
  </si>
  <si>
    <t xml:space="preserve">1. Buat 2 entri harga utk grade sama dgn rentang tanggal tumpang tindih.
2. Amati penanganan sistem.</t>
  </si>
  <si>
    <t>Sistem menangani/menolak/memberi peringatan tumpang tindih.</t>
  </si>
  <si>
    <t>TC-HARGA-JUAL-001</t>
  </si>
  <si>
    <t>HARGA-JUAL</t>
  </si>
  <si>
    <t>CRUD kode harga jual (kode, harga_jual, tanggal_berlaku)</t>
  </si>
  <si>
    <t>Login admin_pengiriman/superadmin.</t>
  </si>
  <si>
    <t xml:space="preserve">1. Buka Master Harga Jual Pabrik.
2. Tambah/ubah/hapus entri.</t>
  </si>
  <si>
    <t>CRUD berjalan normal.</t>
  </si>
  <si>
    <t>Tidak dieksekusi sebagai CRUD langsung. NAMUN, modul ini teramati berisi 41 kode harga jual siap pakai (kode 40-80, Rp40.000-Rp80.000/kg) dan berhasil DIGUNAKAN (bukan diubah) secara fungsional saat pembuatan Surat Jalan DO (KIRIM-005): kode '45 (Rp45.000/kg)' diterapkan massal ke 3 bal dan nilainya terkalkulasi benar (153kg x Rp45.000 = Rp6.885.000).</t>
  </si>
  <si>
    <t>Admin Pengiriman</t>
  </si>
  <si>
    <t>Penggunaan data existing (read) berhasil; operasi tulis (create/update/delete) master harga jual tidak diuji.</t>
  </si>
  <si>
    <t>TC-HARGA-JUAL-002</t>
  </si>
  <si>
    <t>Nonaktifkan harga jual -&gt; histori Pengiriman lama tetap terhubung</t>
  </si>
  <si>
    <t>Kode harga jual dgn histori pengiriman tersedia.</t>
  </si>
  <si>
    <t xml:space="preserve">1. Nonaktifkan suatu kode harga jual.
2. Cek opsi baru di Pengiriman.
3. Cek histori pengiriman lama.</t>
  </si>
  <si>
    <t>Kode nonaktif hilang dari opsi baru; histori lama tetap terhubung ke kode lama.</t>
  </si>
  <si>
    <t>TC-HARGA-JUAL-003</t>
  </si>
  <si>
    <t>Harga jual dipakai benar di kalkulasi profit</t>
  </si>
  <si>
    <t>DO dgn kode harga jual tertentu tersedia.</t>
  </si>
  <si>
    <t xml:space="preserve">1. Buat/lihat DO dgn kode harga jual X.
2. Verifikasi Total Penjualan di Dashboard = netto x harga_jual X.</t>
  </si>
  <si>
    <t>Kalkulasi profit memakai harga jual yang benar.</t>
  </si>
  <si>
    <t>TERVERIFIKASI PENUH via skenario end-to-end nyata (lihat KIRIM-010 &amp; DASH-001): DO KIRIM-005 memakai kode harga jual '45' (Rp45.000/kg) untuk 153kg -&gt; Total Penjualan Dashboard menunjukkan tepat Rp6.885.000 (153 x 45.000), dan Keuntungan Bersih Rp2.241.000 (6.885.000 - 4.644.000) dgn margin 32.5% - seluruhnya matematis akurat sesuai formula §12.1.</t>
  </si>
  <si>
    <t>Admin Pengiriman/Superadmin</t>
  </si>
  <si>
    <t>TC-MASTER-BRG-001</t>
  </si>
  <si>
    <t>MASTER-BRG</t>
  </si>
  <si>
    <t>CRUD master grade/kategori/varietas barang</t>
  </si>
  <si>
    <t>Login superadmin/admin_sortir, modul Master Barang.</t>
  </si>
  <si>
    <t>1. Lakukan create/edit/delete pada master barang.</t>
  </si>
  <si>
    <t>Tidak dieksekusi pada sesi ini - modul Master Barang (modul-2-barang) tidak dikunjungi karena tidak muncul eksplisit pada set modul yang diuji (fokus waktu pada alur transaksi kritikal).</t>
  </si>
  <si>
    <t>TC-MASTER-BRG-002</t>
  </si>
  <si>
    <t>berat_standar_kg &amp; lokasi_default_gudang terisi otomatis saat dipakai modul lain</t>
  </si>
  <si>
    <t>Master barang dgn default value tersedia.</t>
  </si>
  <si>
    <t xml:space="preserve">1. Gunakan master barang tsb di modul lain (Sortir/Timbang).
2. Cek auto-fill default value.</t>
  </si>
  <si>
    <t>Default value terisi otomatis dgn benar.</t>
  </si>
  <si>
    <t>TC-MASTER-BRG-003</t>
  </si>
  <si>
    <t>Nonaktifkan master barang tidak menghapus riwayat Barang existing</t>
  </si>
  <si>
    <t>Master barang dgn riwayat Barang tercipta.</t>
  </si>
  <si>
    <t xml:space="preserve">1. Nonaktifkan master barang.
2. Cek riwayat Barang yg sudah tercipta dari master tsb.</t>
  </si>
  <si>
    <t>Riwayat Barang tetap ada, tidak terhapus.</t>
  </si>
  <si>
    <t>TC-SORTIR-001</t>
  </si>
  <si>
    <t>SORTIR</t>
  </si>
  <si>
    <t>Buat transaksi baru dari kupon antrian -&gt; status proses_sortir</t>
  </si>
  <si>
    <t>Login admin_sortir, petani aktif tersedia.</t>
  </si>
  <si>
    <t xml:space="preserve">1. Buka modul Sortir.
2. Pilih/buat No. Kupon Antrian &amp; Petani Penyetor.
3. Input minimal 1 bal (No Bal, Mutu Grade, Harga Satuan).
4. Klik 'Simpan Data Sortir'.</t>
  </si>
  <si>
    <t>Transaksi baru tercipta dgn status_tahap=proses_sortir, toast konfirmasi tampil.</t>
  </si>
  <si>
    <t>Berhasil membuat transaksi baru: Kupon KUP0001, Petani 'H. Qosim O'Brien &amp; Sons (QA Test)' (PTN-2026-035). Toast konfirmasi 'Kupon KUP0001 berhasil disimpan!' tampil. Transaksi ID auto-generate TRX-13092026-001 (format TRX-DDMMYYYY-XXX sesuai dokumentasi).</t>
  </si>
  <si>
    <t>TC-SORTIR-002</t>
  </si>
  <si>
    <t>Assign kode_grade per bal (multi-bal dalam satu transaksi)</t>
  </si>
  <si>
    <t>Form Sortir dgn kupon aktif terbuka.</t>
  </si>
  <si>
    <t xml:space="preserve">1. Tambah bal #1 dgn grade A.
2. Tambah bal #2 dgn grade B.
3. Tambah bal #3 dgn grade C.
4. Verifikasi daftar 'Bal Ter-Sortir Pada Kupon Ini'.</t>
  </si>
  <si>
    <t>Setiap bal tersimpan dgn kode_grade masing-masing dlm array items[].</t>
  </si>
  <si>
    <t>3 bal berhasil ditambahkan dgn grade berbeda: QATEST01 (Grade 30, Rp30.000/kg), SB0001 (Grade 30, Rp30.000/kg, no_bal berawalan 'SB' utk uji tara khusus), QATEST02 (Grade 31, Rp31.000/kg). Tabel 'Daftar Bal Ter-Sortir' menampilkan ke-3 bal dgn status 'Menunggu Timbang'.</t>
  </si>
  <si>
    <t>TC-SORTIR-003</t>
  </si>
  <si>
    <t>Transaksi multi-grade -&gt; kode_grade transaksi tampil 'Multi-Grade'</t>
  </si>
  <si>
    <t>Transaksi dgn &gt;1 grade berbeda (SORTIR-002).</t>
  </si>
  <si>
    <t xml:space="preserve">1. Selesaikan transaksi dgn 2+ grade berbeda.
2. Cek label kode_grade pada level transaksi (bukan per-bal) di tabel/laporan.</t>
  </si>
  <si>
    <t>Label 'Multi-Grade' tampil pada level transaksi.</t>
  </si>
  <si>
    <t>Tidak diverifikasi eksplisit label 'Multi-Grade' pada tampilan tabel Kasir/Laporan (fokus verifikasi ada pada level per-bal yang menampilkan Grade 30/30/31 secara individual dgn benar).</t>
  </si>
  <si>
    <t>TC-SORTIR-004</t>
  </si>
  <si>
    <t>Validasi total_bal sesuai jumlah items yang diinput</t>
  </si>
  <si>
    <t>Transaksi dgn 3 bal (SORTIR-002).</t>
  </si>
  <si>
    <t>1. Setelah menambah 3 bal, cek counter 'Total Bal Disortir'.</t>
  </si>
  <si>
    <t>total_bal = jumlah items[] persis (3).</t>
  </si>
  <si>
    <t>Counter 'Total Bal Disortir: 3 Bal' sesuai persis dgn 3 bal yg diinput (QATEST01, SB0001, QATEST02).</t>
  </si>
  <si>
    <t>TC-SORTIR-005</t>
  </si>
  <si>
    <t>Setelah sortir selesai, status -&gt; menunggu_timbang &amp; muncul di antrian Timbangan</t>
  </si>
  <si>
    <t>Transaksi baru tersimpan (SORTIR-001).</t>
  </si>
  <si>
    <t xml:space="preserve">1. Simpan data sortir.
2. Login sbg admin_timbang.
3. Cari No. Kupon di modul Timbangan.</t>
  </si>
  <si>
    <t>Kupon/transaksi muncul di antrian Timbangan dgn status menunggu_timbang.</t>
  </si>
  <si>
    <t>Kupon 'KUP0001' berhasil ditemukan di modul Timbangan admin_timbang dgn indikator '0/3 Bal ditimbang', status PROSES. Ketiga bal (QATEST01, SB0001, QATEST02) tampil di 'Daftar Bal (3)' siap ditimbang.</t>
  </si>
  <si>
    <t>TC-TIMBANG-001</t>
  </si>
  <si>
    <t>TIMBANG</t>
  </si>
  <si>
    <t>Hitung potongan_tara_kg otomatis sesuai aturan tier (SB=2kg tetap; lainnya: &lt;=49=3kg,50-59=5kg,&gt;=60=6kg)</t>
  </si>
  <si>
    <t>Login admin_timbang, kupon KUP0001 dgn 3 bal siap timbang tersedia.</t>
  </si>
  <si>
    <t xml:space="preserve">1. Pilih bal QATEST01 (Grade 30, bukan SB), input Berat Kotor (Bruto)=49 kg.
2. Pilih bal SB0001 (No Bal berawalan 'SB'), input Bruto=55 kg.
3. Pilih bal QATEST02 (Grade 31), input Bruto=60 kg.
4. Amati kalkulasi 'Potongan Tara' &amp; 'Berat Bersih (Netto)' real-time utk masing2.</t>
  </si>
  <si>
    <t>QATEST01(49kg,non-SB)-&gt;tara 3kg,netto46. SB0001(55kg,prefix SB)-&gt;tara TETAP 2kg (mengabaikan tier normal),netto53. QATEST02(60kg)-&gt;tara 6kg,netto54.</t>
  </si>
  <si>
    <t>SEMUA SESUAI EKSPEKTASI: QATEST01 bruto=49 -&gt; Tara=3 KG, Netto=46 KG (tier &lt;=49kg). SB0001 (no_bal berawalan 'SB') bruto=55 -&gt; Tara=TETAP 2 KG (bukan 5kg sesuai tier normal 50-59kg), Netto=53 KG - mengkonfirmasi aturan 'SB' berbasis PREFIX NO BAL (bukan kode grade master) sesuai kode hitungPotonganTaraKg() di formatters.ts. QATEST02 bruto=60 -&gt; Tara=6 KG, Netto=54 KG (tier &gt;=60kg).</t>
  </si>
  <si>
    <t>Catatan klarifikasi: dasar aturan 'SB' adalah PREFIX pada field No Bal (barcode fisik), bukan Kode Mutu Grade master data - perlu diklarifikasi di dokumen §12.1 agar tidak ambigu antara 'grade SB' vs 'No Bal berawalan SB'.</t>
  </si>
  <si>
    <t>TC-TIMBANG-002</t>
  </si>
  <si>
    <t>Uji nilai batas (boundary) tepat di 49/50 dan 59/60 kg</t>
  </si>
  <si>
    <t>Sama seperti TIMBANG-001.</t>
  </si>
  <si>
    <t xml:space="preserve">1. Input bruto tepat 49 kg -&gt; harus tara 3kg (bukan 5kg).
2. Input bruto tepat 60 kg -&gt; harus tara 6kg (bukan 5kg).
3. Pastikan tidak ada off-by-one error.</t>
  </si>
  <si>
    <t>49kg tepat di tier bawah (3kg); 60kg tepat di tier atas (6kg) - tidak ada kesalahan pembulatan batas.</t>
  </si>
  <si>
    <t>Boundary 49kg TERVERIFIKASI menghasilkan tara 3kg (bukan tier 50-59=5kg) - tidak ada off-by-one. Boundary 60kg TERVERIFIKASI menghasilkan tara 6kg (bukan tier 50-59=5kg) - tidak ada off-by-one. Kedua batas tepat sesuai spesifikasi dokumen §12.1.</t>
  </si>
  <si>
    <t>TC-TIMBANG-003</t>
  </si>
  <si>
    <t>berat_kg (netto) = bruto - tara, dihitung otomatis real-time saat input berubah</t>
  </si>
  <si>
    <t>Form Timbang bal aktif terbuka.</t>
  </si>
  <si>
    <t xml:space="preserve">1. Ketik nilai bruto secara bertahap.
2. Amati field Netto &amp; Potongan Tara berubah live tanpa perlu submit.</t>
  </si>
  <si>
    <t>Netto &amp; Tara ter-update real-time seiring input bruto berubah.</t>
  </si>
  <si>
    <t>Terverifikasi berulang kali: setiap kali nilai Bruto diketik (49, 55, 60, bahkan -5 utk uji negatif), field 'Berat Bersih (Netto)' dan 'Potongan Tara' langsung ter-update tanpa perlu klik tombol lain.</t>
  </si>
  <si>
    <t>TC-TIMBANG-004</t>
  </si>
  <si>
    <t>Override manual netto (is_netto_manual=true) tidak ditimpa ulang saat bruto diedit</t>
  </si>
  <si>
    <t>Bal siap timbang, toggle input netto manual tersedia.</t>
  </si>
  <si>
    <t xml:space="preserve">1. Input netto manual berbeda dari hasil kalkulasi otomatis.
2. Edit ulang nilai bruto.
3. Cek apakah netto manual tetap dipertahankan (tidak ditimpa).</t>
  </si>
  <si>
    <t>Netto manual dipertahankan; flag is_netto_manual tercatat utk audit.</t>
  </si>
  <si>
    <t>Tidak dieksekusi pada sesi ini (fokus pengujian pada kalkulasi tara otomatis/boundary; toggle override manual netto tidak dicoba).</t>
  </si>
  <si>
    <t>TC-TIMBANG-005</t>
  </si>
  <si>
    <t>'Ganti Tikar' mengaktifkan potongan_tikar (Rp) TANPA mengubah potongan_tara_kg (berat)</t>
  </si>
  <si>
    <t>Bal SB0001 siap timbang.</t>
  </si>
  <si>
    <t xml:space="preserve">1. Centang 'Ada Ganti Tikar?' pada bal SB0001 (bruto=55kg).
2. Amati apakah field Potongan Tara (KG) berubah.
3. Amati munculnya field 'Nominal Potongan Tikar (Rp)'.</t>
  </si>
  <si>
    <t>Tara (berat, KG) TIDAK berubah; hanya field nominal Rupiah tikar yang aktif - keduanya independen.</t>
  </si>
  <si>
    <t>Terverifikasi: saat checkbox 'Ada Ganti Tikar?' dicentang pada SB0001, Potongan Tara TETAP 2 KG (tidak berubah sama sekali), sementara field baru 'Nominal Potongan Tikar (Rp)' muncul secara terpisah. Independensi berat vs nominal rupiah terbukti benar SECARA UI/INPUT. NAMUN lihat DEF-002: nilai nominal tikar yang seharusnya default Rp75.000 tidak konsisten diteruskan ke total_potongan akhir di tahap Kasir.</t>
  </si>
  <si>
    <t>DEF-002</t>
  </si>
  <si>
    <t>Independensi tara-berat vs tikar-rupiah pada LAYER INPUT ini sudah benar; masalah muncul di layer AGREGASI pada Kasir (lihat KASIR-003/004).</t>
  </si>
  <si>
    <t>TC-TIMBANG-006</t>
  </si>
  <si>
    <t>Status transisi: semua bal selesai_timbang -&gt; transaksi lanjut ke Kasir HANYA jika seluruh bal selesai</t>
  </si>
  <si>
    <t>Kupon dgn 3 bal, sebagian belum ditimbang.</t>
  </si>
  <si>
    <t xml:space="preserve">1. Timbang bal 1 &amp; 2, biarkan bal 3 belum ditimbang.
2. Cek status transaksi (harus belum lanjut ke Kasir).
3. Timbang bal 3 (terakhir).
4. Cek status transaksi berubah ke 'lengkap' &amp; siap Kasir.</t>
  </si>
  <si>
    <t>Transaksi hanya lanjut ke Kasir jika bal_selesai_timbang == total_bal.</t>
  </si>
  <si>
    <t>Setelah 2 dari 3 bal ditimbang (QATEST01=46kg, SB0001=53kg), transaksi belum lengkap. Setelah bal ke-3 (QATEST02) ditimbang, sistem menampilkan pesan sukses: 'Semua 3 bal pada Kupon KUP0001 tuntas ditimbang (153 Kg Netto)!' dan transaksi langsung muncul di antrian Kasir (badge notifikasi '1' pada menu Kasir) dgn status 'Siap Bayar'.</t>
  </si>
  <si>
    <t>TC-TIMBANG-007</t>
  </si>
  <si>
    <t>Input berat negatif/nol/huruf -&gt; validasi menolak</t>
  </si>
  <si>
    <t>Form Timbang bal aktif.</t>
  </si>
  <si>
    <t xml:space="preserve">1. Input bruto = -5 (negatif).
2. Amati apakah tombol 'Simpan Timbangan' aktif &amp; apakah bal tersimpan saat diklik.</t>
  </si>
  <si>
    <t>Nilai tidak valid ditolak, data tidak tersimpan.</t>
  </si>
  <si>
    <t>Bruto=-5 diinput, field Netto &amp; Tara otomatis clamp ke 0 (Math.max(0,...)), tombol 'Simpan Timbangan' tampak nonaktif/pudar (disabled state). Percobaan klik simpan TIDAK menyimpan data - bal tetap berstatus 'Belum Timbang'. Validasi negatif TERBUKTI BEKERJA.</t>
  </si>
  <si>
    <t>Hanya kasus negatif yang diuji langsung; kasus nol &amp; huruf tidak diuji terpisah namun besar kemungkinan tertangani sama (input type=number mencegah huruf secara native).</t>
  </si>
  <si>
    <t>TC-TIMBANG-008</t>
  </si>
  <si>
    <t>Barcode fisik per bal ter-scan &amp; terhubung tepat saat multi-bal ditimbang berurutan</t>
  </si>
  <si>
    <t xml:space="preserve">1. Scan barcode bal 1, lalu bal 2, lalu bal 3 secara berurutan cepat.
2. Verifikasi tiap scan terhubung ke item yang benar.</t>
  </si>
  <si>
    <t>Setiap scan terhubung ke bal yang tepat, tidak tertukar.</t>
  </si>
  <si>
    <t>Tidak dapat dieksekusi - memerlukan perangkat hardware fisik (barcode scanner USB HID) yang tidak tersedia pada environment browser otomatis ini. Sebagai gantinya, input No Bal dilakukan via ketik manual pada field 'Scan Barcode / Cari No Bal' yang berfungsi normal.</t>
  </si>
  <si>
    <t>Memerlukan pengujian manual di perangkat loket fisik dgn scanner sungguhan.</t>
  </si>
  <si>
    <t>TC-TIMBANG-009</t>
  </si>
  <si>
    <t>Lokasi simpan (Blok A/B) tersimpan per bal utk pelacakan gudang</t>
  </si>
  <si>
    <t>Bal berhasil ditimbang.</t>
  </si>
  <si>
    <t xml:space="preserve">1. Simpan timbangan suatu bal.
2. Cek notifikasi/data lokasi simpan yang tercatat.</t>
  </si>
  <si>
    <t>Lokasi simpan (mis. Blok A) tersimpan &amp; tampil.</t>
  </si>
  <si>
    <t>Toast konfirmasi 'Berat Bal QATEST02 (54 Kg) berhasil disimpan ke Blok A!' - lokasi simpan 'Blok A' otomatis tercatat &amp; ditampilkan pada notifikasi sukses.</t>
  </si>
  <si>
    <t>TC-TIMBANG-010</t>
  </si>
  <si>
    <t>Cetak/print label sample (sample_label_code) di tahap ini bila berlaku</t>
  </si>
  <si>
    <t>Fitur label sample pada Timbang tersedia.</t>
  </si>
  <si>
    <t xml:space="preserve">1. Cari opsi cetak label sample pada form Timbang.
2. Uji cetak.</t>
  </si>
  <si>
    <t>Label tercetak dgn kode sample sesuai.</t>
  </si>
  <si>
    <t>Tidak dieksekusi pada sesi ini - fitur tidak dijumpai/dicoba pada alur pengujian.</t>
  </si>
  <si>
    <t>TC-KASIR-001</t>
  </si>
  <si>
    <t>KASIR</t>
  </si>
  <si>
    <t>Kasir hanya proses transaksi berstatus lengkap (semua bal sudah ditimbang)</t>
  </si>
  <si>
    <t>Transaksi KUP0001 selesai ditimbang (TIMBANG-006).</t>
  </si>
  <si>
    <t xml:space="preserve">1. Buka modul Kasir.
2. Cari transaksi KUP0001 di tabel.
3. Cek status kolom 'Status Kas &amp; Kesiapan'.</t>
  </si>
  <si>
    <t>Hanya transaksi lengkap yang berstatus 'Siap Bayar' &amp; dapat diproses.</t>
  </si>
  <si>
    <t>Transaksi KUP0001 muncul di tabel Kasir dgn badge status 'Siap Bayar' - konsisten dgn seluruh 3 bal sudah selesai ditimbang. Filter 'Status Kas &amp; Kesiapan' juga menyediakan opsi eksplisit 'Siap Bayar (1)' vs 'Belum Lengkap Timbang (0)'.</t>
  </si>
  <si>
    <t>Admin Kasir</t>
  </si>
  <si>
    <t>TC-KASIR-002</t>
  </si>
  <si>
    <t>potongan_kuli=Rp7.000/bal &amp; potongan_tali=Rp3.000/bal (nilai tetap, tidak berubah oleh grade)</t>
  </si>
  <si>
    <t>Transaksi 3 bal (2 grade berbeda: 30 &amp; 31) siap bayar.</t>
  </si>
  <si>
    <t xml:space="preserve">1. Buka Nota Timbang &amp; Kasir Pembayaran KUP0001.
2. Cek bagian 'Rincian Potongan Biaya'.</t>
  </si>
  <si>
    <t>Biaya Kuli &amp; Angkut = Rp7.000 x 3 bal = Rp21.000 (tetap, tak terpengaruh grade); Biaya Tali = Rp3.000 x 3 bal = Rp9.000 (tetap).</t>
  </si>
  <si>
    <t>Rincian Potongan Biaya menampilkan TEPAT: 'Biaya Kuli &amp; Angkut (@ Rp 7.000) x 3 bal = -Rp 21.000' dan 'Biaya Tali (@ Rp 3.000) x 3 bal = -Rp 9.000' - nilai konstan tidak terpengaruh perbedaan grade (Grade 30 vs 31) sesuai spesifikasi.</t>
  </si>
  <si>
    <t>TC-KASIR-003</t>
  </si>
  <si>
    <t>potongan_tikar=Rp75.000 HANYA JIKA ganti_tikar=true, else 0</t>
  </si>
  <si>
    <t>Bal SB0001 ditandai Ganti Tikar=true saat Timbang (TIMBANG-005); 2 bal lain tidak.</t>
  </si>
  <si>
    <t xml:space="preserve">1. Buka Nota Timbang &amp; Kasir KUP0001.
2. Cek baris 'Biaya Ganti Tikar' pada Rincian Potongan Biaya.
3. Cek apakah nilainya Rp75.000 x 1 bal (hanya SB0001), dan bal lain 0.</t>
  </si>
  <si>
    <t>Baris 'Biaya Ganti Tikar' = -Rp75.000 utk 1 bal (SB0001); bal lain (QATEST01, QATEST02, tanpa ganti_tikar) tidak dikenakan.</t>
  </si>
  <si>
    <t>BUG DITEMUKAN (lihat DEF-002). Rincian Potongan Biaya SECARA ITEMISASI menampilkan baris terpisah 'Biaya Ganti Tikar - 1 bal = -Rp 75.000' dgn BENAR (matching 1 bal ber-ganti_tikar). NAMUN nilai ini TIDAK IKUT DIJUMLAHKAN ke 'TOTAL POTONGAN KESELURUHAN' pada nota/dokumen yang sama: Kuli(21.000)+Tali(9.000)+Tikar(75.000) seharusnya = Rp105.000, tapi 'TOTAL POTONGAN KESELURUHAN' yang ditampilkan &amp; DIPAKAI utk pembayaran aktual HANYA Rp30.000 (=21.000+9.000 saja, tikar diabaikan). Inkonsistensi internal pada dokumen resmi yang sama.</t>
  </si>
  <si>
    <t>TEMUAN KRITIKAL KEUANGAN - lihat Defect Log DEF-002 utk detail root-cause &amp; dampak.</t>
  </si>
  <si>
    <t>TC-KASIR-004</t>
  </si>
  <si>
    <t>potongan (total per bal) = potongan_kuli + potongan_tali + potongan_tikar</t>
  </si>
  <si>
    <t>Bal SB0001 dgn ganti_tikar=true.</t>
  </si>
  <si>
    <t xml:space="preserve">1. Cek kolom Subtotal per-bal pada tabel item Nota utk SB0001.
2. Bandingkan: Total Kotor - Subtotal = potongan per bal seharusnya = 7000+3000+75000 = 85.000.</t>
  </si>
  <si>
    <t>Potongan per bal SB0001 = Rp85.000 (bukan hanya Rp10.000).</t>
  </si>
  <si>
    <t>GAGAL - hasil sama dgn KASIR-003. Total Kotor SB0001 = Rp1.590.000, Subtotal tercetak = Rp1.580.000, sehingga potongan per-bal yg SEBENARNYA DIPAKAI hanya Rp10.000 (kuli+tali), BUKAN Rp85.000 (kuli+tali+tikar) seperti seharusnya. Selisih persis Rp75.000 = nilai Biaya Ganti Tikar yang 'hilang' dari kalkulasi subtotal_bersih per-bal.</t>
  </si>
  <si>
    <t>TC-KASIR-005</t>
  </si>
  <si>
    <t>total_kotor (per bal) = berat_kg (netto) x harga_per_kg (snapshot saat itu)</t>
  </si>
  <si>
    <t>3 bal dgn netto &amp; harga berbeda-beda.</t>
  </si>
  <si>
    <t>1. Verifikasi Total Kotor tiap bal = Netto x Tarif/Kg yg tertera di Nota.</t>
  </si>
  <si>
    <t>Matematis akurat sesuai formula, memakai harga snapshot bukan harga master terkini.</t>
  </si>
  <si>
    <t>Diverifikasi matematis TEPAT utk ketiga bal: QATEST01: 46kg x Rp30.000 = Rp1.380.000 [benar]. SB0001: 53kg x Rp30.000 = Rp1.590.000 [benar]. QATEST02: 54kg x Rp31.000 = Rp1.674.000 [benar]. Total keseluruhan Rp4.644.000 sesuai penjumlahan.</t>
  </si>
  <si>
    <t>TC-KASIR-006</t>
  </si>
  <si>
    <t>subtotal_bersih (per bal) = total_kotor - potongan</t>
  </si>
  <si>
    <t>Sama seperti KASIR-005.</t>
  </si>
  <si>
    <t>1. Verifikasi Subtotal per bal = Total Kotor - Potongan (termasuk tikar bila berlaku).</t>
  </si>
  <si>
    <t>Matematis akurat termasuk komponen tikar bila ganti_tikar=true.</t>
  </si>
  <si>
    <t>GAGAL untuk bal ber-ganti_tikar (SB0001): Subtotal seharusnya Rp1.590.000-Rp85.000=Rp1.505.000, namun sistem menampilkan Rp1.580.000 (hanya dikurangi Rp10.000). Untuk 2 bal lain (tanpa ganti_tikar) perhitungan TEPAT (Rp1.380.000-10.000=Rp1.370.000 benar; Rp1.674.000-10.000=Rp1.664.000 benar). Akar masalah sama dgn DEF-002.</t>
  </si>
  <si>
    <t>TC-KASIR-007</t>
  </si>
  <si>
    <t>Total transaksi: aggregasi total_harga_beli, total_potongan, harga_final dari seluruh bal (1 bal &amp; 10+ bal campuran grade)</t>
  </si>
  <si>
    <t>Transaksi 3 bal, 2 grade campuran (KASIR-005).</t>
  </si>
  <si>
    <t xml:space="preserve">1. Verifikasi Total Harga Beli = Sigma(netto x harga) seluruh bal.
2. Verifikasi Total Potongan = Sigma(potongan) seluruh bal.
3. Verifikasi Harga Final = Total Harga Beli - Total Potongan.</t>
  </si>
  <si>
    <t>Ketiga agregasi akurat utk kombinasi multi-bal, multi-grade.</t>
  </si>
  <si>
    <t>SEBAGIAN PASS/SEBAGIAN FAIL: (a) Total Harga Beli teragregasi TEPAT: Rp4.644.000 (Rp1.380.000+Rp1.590.000+Rp1.674.000) - PASS. (b) Total Potongan teragregasi SALAH: menampilkan Rp30.000, seharusnya Rp105.000 (akibat DEF-002 berulang di level total) - FAIL. (c) Harga Final = Rp4.614.000 (memakai Total Potongan yg salah) sehingga turut SALAH, seharusnya Rp4.539.000 jika potongan tikar dihitung benar - FAIL. Skenario hanya diuji dgn 3 bal (bukan 10+), namun pola bug yang ditemukan bersifat sistemik per-item sehingga highly likely berlaku sama pada dataset lebih besar.</t>
  </si>
  <si>
    <t>Petani berpotensi menerima pembayaran LEBIH BESAR Rp75.000 dari seharusnya per bal ber-ganti_tikar - berdampak langsung pada akurasi kas &amp; laporan keuangan.</t>
  </si>
  <si>
    <t>TC-KASIR-008</t>
  </si>
  <si>
    <t>Pajak/PPh 22 dihitung &amp; dikurangkan dgn benar dari harga_final bila berlaku</t>
  </si>
  <si>
    <t>Field pajak pada transaksi tersedia.</t>
  </si>
  <si>
    <t>1. Cek apakah field pajak aktif/dihitung pada transaksi uji.</t>
  </si>
  <si>
    <t>Pajak (bila berlaku) dihitung &amp; dikurangkan dgn benar.</t>
  </si>
  <si>
    <t>Pada transaksi yang diuji, field Pajak menampilkan 'Rp0,-' (tidak aktif/tidak dikenakan) baik di tabel Kasir maupun Nota. Skenario aktivasi pajak tidak dicoba.</t>
  </si>
  <si>
    <t>TC-KASIR-009</t>
  </si>
  <si>
    <t>Metode pembayaran cash vs kredit -&gt; status_pembayaran (lunas/belum_lunas) sesuai</t>
  </si>
  <si>
    <t>Transaksi Siap Bayar tersedia.</t>
  </si>
  <si>
    <t xml:space="preserve">1. Amati status awal transaksi sebelum dibayar (harus Kredit/Belum Lunas).
2. Proses pembayaran via 'Bayar Kasir (Cairkan Cash)'.
3. Amati status setelah dibayar.</t>
  </si>
  <si>
    <t>Status berubah dari Kredit/Belum Lunas -&gt; Cash/Lunas setelah metode Cash diproses.</t>
  </si>
  <si>
    <t>TERVERIFIKASI PENUH: sebelum dibayar, status='BELUM LUNAS (KREDIT)', tabel menunjukkan Kredit Rp4.614.000 &amp; Cash Rp0. Setelah proses 'Bayar Kasir (Cairkan Cash)' dgn verifikasi nominal ganda (ketik ulang nominal harus persis sama), status berubah -&gt; 'LUNAS (CASH)', tabel menunjukkan Cash Rp4.614.000 &amp; Kredit Rp0, Kas Keluar (Cash) card ter-update.</t>
  </si>
  <si>
    <t>Fitur verifikasi nominal ganda (ketik ulang nominal cash yg harus persis sama dgn target) merupakan praktik baik pencegahan human-error kasir - patut dipertahankan.</t>
  </si>
  <si>
    <t>TC-KASIR-010</t>
  </si>
  <si>
    <t>Setelah bayar: status_transaksi=lengkap, dibayar_pada &amp; dibayar_oleh terisi otomatis</t>
  </si>
  <si>
    <t>Pembayaran KASIR-009 baru selesai.</t>
  </si>
  <si>
    <t>1. Cek field dibayar_pada (timestamp) &amp; dibayar_oleh (nama user kasir) pasca pembayaran.</t>
  </si>
  <si>
    <t>Kedua field terisi otomatis sesuai user &amp; waktu saat itu.</t>
  </si>
  <si>
    <t>Tidak diverifikasi eksplisit pada field mentah; namun NAMA PETUGAS KASIR ('Dewi Lestari, S.E.') tercatat benar pada form Pencairan Kas &amp; pada entri Audit Trail terkait transaksi ini, mengindikasikan atribusi user berjalan dgn baik meski timestamp presisi tidak dicek manual.</t>
  </si>
  <si>
    <t>TC-KASIR-011</t>
  </si>
  <si>
    <t>Cetak Nota Timbang -&gt; seluruh angka di nota IDENTIK dgn data tersimpan (tanpa selisih pembulatan)</t>
  </si>
  <si>
    <t>Transaksi lunas (KASIR-009).</t>
  </si>
  <si>
    <t xml:space="preserve">1. Buka/cetak Nota Timbang &amp; Kasir Pembayaran.
2. Bandingkan seluruh angka pada nota cetak dgn data di tabel Kasir.</t>
  </si>
  <si>
    <t>Tidak ada selisih pembulatan antara layar &amp; cetakan.</t>
  </si>
  <si>
    <t>TIDAK ADA selisih pembulatan antara tampilan layar Kasir dan dokumen cetak (Dedicated Print View) - keduanya identik (Rp4.614.000). NAMUN nota cetak resmi ini turut MEWARISI bug DEF-002 (Total Potongan Keseluruhan Rp30.000 vs seharusnya Rp105.000 berdasarkan rincian itemisasi di dokumen yang sama) - dicetak &amp; diserahkan ke petani sebagai bukti sah pembayaran.</t>
  </si>
  <si>
    <t>Karena nota resmi (surat bukti timbang) ikut mewarisi bug finansial, dampak defect ini bersifat legal-formal, bukan hanya UI.</t>
  </si>
  <si>
    <t>TC-KASIR-012</t>
  </si>
  <si>
    <t>status_nota berubah belum_cetak -&gt; sudah_cetak; unduh_nota_count bertambah</t>
  </si>
  <si>
    <t>Nota belum pernah dicetak.</t>
  </si>
  <si>
    <t xml:space="preserve">1. Cetak/buka nota utk pertama kali.
2. Cek badge status nota berubah.</t>
  </si>
  <si>
    <t>Status berubah 'sudah_cetak', counter unduhan bertambah tiap diunduh ulang.</t>
  </si>
  <si>
    <t>Setelah pembayaran &amp; cetak nota, badge status berubah dari kondisi awal menjadi '(Nota Tercetak)' pada header modal Nota Timbang &amp; Kasir - sesuai ekspektasi.</t>
  </si>
  <si>
    <t>TC-KASIR-013</t>
  </si>
  <si>
    <t>Setelah bayar, bal terkait otomatis tercatat sbg Barang baru dgn status_stok=di_gudang</t>
  </si>
  <si>
    <t xml:space="preserve">1. Login superadmin, buka Inventaris Bal Gudang.
2. Cari 3 bal terkait transaksi (QATEST01, SB0001, QATEST02).</t>
  </si>
  <si>
    <t>Ketiga bal tercatat sbg Barang baru dgn status_stok='Di Gudang'.</t>
  </si>
  <si>
    <t>Ketiga bal (QATEST01=46kg Grade30, SB0001=53kg Grade30, QATEST02=54kg Grade31) TERVERIFIKASI tercatat di Inventaris Bal Gudang dgn status_stok 'Di Gudang', tanggal masuk 2026-09-13, dan data petani pemasok yg benar.</t>
  </si>
  <si>
    <t>TC-KASIR-014</t>
  </si>
  <si>
    <t>Edit transaksi setelah selesai wajib isi alasan_perubahan_terakhir; audit trail catat rincian_perubahan</t>
  </si>
  <si>
    <t>Transaksi selesai tersedia; fitur Edit Transaksi diakses.</t>
  </si>
  <si>
    <t xml:space="preserve">1. Buka TransaksiEditModal pada transaksi selesai.
2. Coba simpan tanpa mengisi alasan perubahan.
3. Isi alasan, ubah 1 nilai, simpan.
4. Cek Audit Trail utk rincian_perubahan.</t>
  </si>
  <si>
    <t>Wajib isi alasan; audit trail mencatat nilai lama vs baru.</t>
  </si>
  <si>
    <t>Tidak dieksekusi pada sesi ini - fitur edit transaksi tidak dicoba. NAMUN observasi TIDAK LANGSUNG dari Audit Trail (lihat AUDIT-002/003) menunjukkan aksi 'KOREKSI' pada Transaksi Pembelian memang tercatat dgn detail before/after utk sebagian besar field numerik (Netto, Nilai) - meski satu field (Status Bayar) menunjukkan anomali 'undefined' pada before-value (lihat DEF-004).</t>
  </si>
  <si>
    <t>TC-KASIR-015</t>
  </si>
  <si>
    <t>Batalkan/hapus transaksi -&gt; Barang terkait ikut disesuaikan, tidak orphan</t>
  </si>
  <si>
    <t>Fitur hapus transaksi tersedia (tombol 'Hapus').</t>
  </si>
  <si>
    <t xml:space="preserve">1. Hapus suatu transaksi.
2. Cek apakah Barang terkait ikut disesuaikan/hilang, tidak menyisakan data yatim.</t>
  </si>
  <si>
    <t>Barang terkait konsisten disesuaikan, tidak ada data orphan.</t>
  </si>
  <si>
    <t>Tidak dieksekusi pada sesi ini (berisiko merusak data uji lain yg sedang dipakai utk skenario E2E berjalan; tombol 'Hapus' teramati tersedia pada modal Nota Timbang).</t>
  </si>
  <si>
    <t>TC-KASIR-016</t>
  </si>
  <si>
    <t>Kupon antrian status sinkron dgn progres transaksi (menunggu-&gt;dipanggil-&gt;selesai / batal)</t>
  </si>
  <si>
    <t>Kupon KUP0001 melalui seluruh alur Sortir-Timbang-Kasir.</t>
  </si>
  <si>
    <t>1. Amati status Kupon di setiap tahap alur.</t>
  </si>
  <si>
    <t>Status kupon sinkron &amp; akurat sepanjang alur.</t>
  </si>
  <si>
    <t>Tidak diverifikasi label status literal ('menunggu'/'dipanggil'/'selesai') secara eksplisit, namun kupon KUP0001 secara fungsional terlacak konsisten &amp; progresif di seluruh 3 modul (Sortir-&gt;Timbangan '0/3 lalu 3/3'-&gt;Kasir 'Siap Bayar'-&gt;Lunas) tanpa kehilangan referensi.</t>
  </si>
  <si>
    <t>TC-KASIR-017</t>
  </si>
  <si>
    <t>Angka besar (&gt;999.999.999) &amp; desimal -&gt; format Rupiah tampil benar tanpa pembulatan aneh</t>
  </si>
  <si>
    <t>Data harga/berat dgn nilai ekstrem.</t>
  </si>
  <si>
    <t xml:space="preserve">1. Input transaksi dgn nilai sangat besar/desimal.
2. Cek format tampilan Rupiah.</t>
  </si>
  <si>
    <t>Format Rupiah benar tanpa anomali pembulatan.</t>
  </si>
  <si>
    <t>Tidak dieksekusi pada sesi ini - nilai transaksi uji (maks Rp4-6 juta) berada dlm rentang wajar, tidak menguji batas ekstrem &gt;999 juta atau input desimal.</t>
  </si>
  <si>
    <t>TC-KASIR-018</t>
  </si>
  <si>
    <t>ID transaksi auto-generate TRX-DDMMYYYY-XXX unik per hari, tidak duplikat meski dibuat detik sama (2 tab concurrent)</t>
  </si>
  <si>
    <t>2 tab browser, input transaksi bersamaan.</t>
  </si>
  <si>
    <t xml:space="preserve">1. Verifikasi format ID transaksi yg dihasilkan.
2. (Idealnya) buat 2 transaksi nyaris bersamaan dari 2 tab, cek tidak ada duplikasi ID.</t>
  </si>
  <si>
    <t>Format TRX-DDMMYYYY-XXX benar &amp; unik walau dibuat detik yg sama.</t>
  </si>
  <si>
    <t>Format ID TERVERIFIKASI BENAR: 'TRX-13092026-001' sesuai pola TRX-DDMMYYYY-XXX (tanggal 13-09-2026, sekuens 001). Skenario concurrency 2-tab TIDAK dieksekusi (di luar cakupan waktu pengujian sesi ini) - berisiko race condition pada arsitektur client-only (localStorage) tanpa lock transaksi server-side.</t>
  </si>
  <si>
    <t>Format ID PASS; aspek concurrency/uniqueness di bawah race condition TIDAK diuji dan patut jadi prioritas P0 pada siklus berikutnya mengingat arsitektur client-only rentan race condition saat 2 loket bekerja bersamaan.</t>
  </si>
  <si>
    <t>TC-SAMPLE-001</t>
  </si>
  <si>
    <t>SAMPLE</t>
  </si>
  <si>
    <t>Buat batch pengiriman sample ke buyer dgn beberapa item bal</t>
  </si>
  <si>
    <t>Login admin_pengiriman/admin_sortir, bal siap sample tersedia.</t>
  </si>
  <si>
    <t xml:space="preserve">1. Buka Pengiriman Sample.
2. Buat batch baru, pilih beberapa item bal.
3. Simpan.</t>
  </si>
  <si>
    <t>Batch tersimpan dgn item-item bal sesuai pilihan.</t>
  </si>
  <si>
    <t>Tidak dieksekusi pada sesi ini. Modul Pengiriman Sample dikunjungi (menu 'Pengiriman Sample: 0') namun tidak ada data batch existing di dataset demo yang digunakan (server dev fresh/di-reset), dan pembuatan batch baru tidak sempat dilakukan karena waktu diprioritaskan pada alur pembelian &amp; pengiriman reguler yang menjadi jantung Critical User Journey.</t>
  </si>
  <si>
    <t>Admin Sortir/Pengiriman</t>
  </si>
  <si>
    <t>CATATAN PENTING: saat login sbg admin_pengiriman di awal sesi (sebelum data direset), deskripsi modul menampilkan teks '(3 Sedang Pengiriman, 1 Sedang Berangkat, 4 Selesai)' namun counter aktual menunjukkan 0 - lihat DEF-005.</t>
  </si>
  <si>
    <t>TC-SAMPLE-002</t>
  </si>
  <si>
    <t>Status batch: sample-&gt;diproses-&gt;dikirim-&gt;selesai, atau dibatalkan</t>
  </si>
  <si>
    <t>Batch sample tersedia.</t>
  </si>
  <si>
    <t xml:space="preserve">1. Ubah status batch melalui tiap tahap.
2. Verifikasi transisi status benar &amp; berurutan.</t>
  </si>
  <si>
    <t>Transisi status berjalan sesuai enumerasi StatusBatchSample.</t>
  </si>
  <si>
    <t>TC-SAMPLE-003</t>
  </si>
  <si>
    <t>Update evaluasi item: disetujui/ditolak(wajib alasan_tolak)/nego(wajib catatan_nego &amp; harga_deal_kg)</t>
  </si>
  <si>
    <t>Item sample dlm batch tersedia.</t>
  </si>
  <si>
    <t xml:space="preserve">1. Evaluasi 1 item sbg ditolak tanpa isi alasan -&gt; harus tertolak submit.
2. Isi alasan, submit -&gt; berhasil.
3. Ulangi utk status nego (wajib catatan &amp; harga deal).</t>
  </si>
  <si>
    <t>Validasi wajib berjalan sesuai status yg dipilih.</t>
  </si>
  <si>
    <t>TC-SAMPLE-004</t>
  </si>
  <si>
    <t>Ringkasan batch (total_bal_disetujui/ditolak/nego, total_estimasi_nilai, total_nilai_deal) akurat</t>
  </si>
  <si>
    <t>Batch dgn item campuran hasil evaluasi.</t>
  </si>
  <si>
    <t xml:space="preserve">1. Evaluasi beberapa item dgn hasil campuran.
2. Cek ringkasan angka pada level batch.</t>
  </si>
  <si>
    <t>Ringkasan akurat sesuai penjumlahan item-item di dalamnya.</t>
  </si>
  <si>
    <t>TC-SAMPLE-005</t>
  </si>
  <si>
    <t>Bal disetujui/nego dgn sudah_dikirim_do=true TIDAK bisa dimasukkan ke batch sample lain (no double)</t>
  </si>
  <si>
    <t>Bal yg sudah terkirim DO tersedia.</t>
  </si>
  <si>
    <t xml:space="preserve">1. Coba masukkan bal tsb ke batch sample baru.
2. Amati penolakan sistem.</t>
  </si>
  <si>
    <t>Sistem menolak/mencegah duplikasi input bal yg sudah terkirim.</t>
  </si>
  <si>
    <t>TC-SAMPLE-006</t>
  </si>
  <si>
    <t>Bal ditolak tetap berstatus stok gudang normal (di_gudang), bukan hilang</t>
  </si>
  <si>
    <t>Item sample ditolak tersedia.</t>
  </si>
  <si>
    <t xml:space="preserve">1. Tolak evaluasi suatu item sample.
2. Cek status_stok bal terkait di Inventaris Bal Gudang.</t>
  </si>
  <si>
    <t>Bal tetap status di_gudang, tidak hilang dari sistem.</t>
  </si>
  <si>
    <t>TC-SAMPLE-007</t>
  </si>
  <si>
    <t>Cetak Print Sample - label/dokumen sesuai data &amp; barcode unik</t>
  </si>
  <si>
    <t xml:space="preserve">1. Cetak label/dokumen sample.
2. Verifikasi data &amp; barcode.</t>
  </si>
  <si>
    <t>Label/dokumen sesuai data &amp; barcode unik per item.</t>
  </si>
  <si>
    <t>TC-SAMPLE-008</t>
  </si>
  <si>
    <t>Uji negosiasi: harga_deal &lt; harga_tawaran, = , dan &gt; (upsell)</t>
  </si>
  <si>
    <t>Item sample dgn harga_tawaran_kg tersedia.</t>
  </si>
  <si>
    <t xml:space="preserve">1. Input harga_deal_kg lebih rendah, sama, dan lebih tinggi dari harga_tawaran.
2. Amati penanganan sistem utk tiap kasus.</t>
  </si>
  <si>
    <t>Sistem menerima seluruh kasus &amp; mencatat dgn benar.</t>
  </si>
  <si>
    <t>TC-SAMPLE-009</t>
  </si>
  <si>
    <t>Field is_locked pada batch -&gt; batch terkunci tidak bisa diedit itemnya</t>
  </si>
  <si>
    <t>Batch dgn is_locked=true tersedia.</t>
  </si>
  <si>
    <t xml:space="preserve">1. Coba edit item pada batch terkunci.
2. Amati penolakan sistem.</t>
  </si>
  <si>
    <t>Edit ditolak/dicegah pada batch terkunci.</t>
  </si>
  <si>
    <t>TC-KIRIM-001</t>
  </si>
  <si>
    <t>KIRIM</t>
  </si>
  <si>
    <t>Konsolidasi beberapa barang_id (status siap_kirim) ke satu Surat Jalan</t>
  </si>
  <si>
    <t>Login admin_pengiriman, bal status Di Gudang tersedia (3 bal hasil KASIR-013).</t>
  </si>
  <si>
    <t xml:space="preserve">1. Buka Pengiriman Reguler (DO).
2. Klik 'Buat Pengiriman &amp; Surat Jalan Baru'.
3. Pilih 'Pilih Bebas dari Stok Gudang'.
4. Pilih 3 bal dari daftar stok.
5. Masukkan ke daftar muatan.</t>
  </si>
  <si>
    <t>Ketiga bal terkonsolidasi ke 1 Surat Jalan (DO) baru.</t>
  </si>
  <si>
    <t>Modal 'Pilih Bal Tembakau dari Stok Gudang' menampilkan tepat 3 bal berstatus 'Siap Muat' (QATEST01 46kg, SB0001 53kg, QATEST02 54kg). Ketiganya berhasil dipilih &amp; dimasukkan ke 'Daftar Bal Tembakau yang Harus Dimuat' (153,0 Kg total) dalam satu DO.</t>
  </si>
  <si>
    <t>TC-KIRIM-002</t>
  </si>
  <si>
    <t>Hanya bal status tepat (siap_kirim/di_gudang) dpt dipilih; bal keluar/terkirim_sample tak boleh double-input</t>
  </si>
  <si>
    <t>Campuran bal berbagai status tersedia.</t>
  </si>
  <si>
    <t xml:space="preserve">1. Buka picker pemilihan bal utk DO baru.
2. Verifikasi hanya bal berstatus tepat yg muncul sbg pilihan; bal yg sudah keluar/terkirim_sample tidak muncul/tidak dpt dipilih ulang.</t>
  </si>
  <si>
    <t>Hanya bal berstatus tepat yg dapat dipilih; tidak ada duplikasi input.</t>
  </si>
  <si>
    <t>Tidak diuji dgn dataset bercampur status (dataset demo yg dipakai hanya memiliki 3 bal, seluruhnya berstatus 'Di Gudang'/'Siap Muat' konsisten). Picker menampilkan label 'Status Muatan: Siap Muat' per baris, mengindikasikan mekanisme filter status memang ada, namun skenario mencegah double-input bal yg sudah terkirim tidak diverifikasi langsung.</t>
  </si>
  <si>
    <t>TC-KIRIM-003</t>
  </si>
  <si>
    <t>Input driver_nama, plat_nomor, tujuan wajib diisi (validasi)</t>
  </si>
  <si>
    <t>Form Buat Surat Jalan terbuka.</t>
  </si>
  <si>
    <t xml:space="preserve">1. Coba terbitkan Surat Jalan tanpa mengisi Nomor Polisi.
2. Amati pesan validasi.
3. Lengkapi field, ulangi submit.</t>
  </si>
  <si>
    <t>Validasi wajib field muncul; submit tercegah hingga field lengkap.</t>
  </si>
  <si>
    <t>Percobaan submit tanpa Nomor Polisi menghasilkan pesan error jelas: 'Nomor polisi / plat kendaraan wajib diisi.' Field Tujuan Gudang/Pabrik Buyer juga ditandai wajib (*) &amp; berhasil diisi manual (bukan dropdown, sesuai catatan UI 'ketik tujuan gudang secara manual'). Setelah field dilengkapi (Tujuan: PT Djarum Kudus - Lab QC; Driver: Slamet (QA Driver); Nopol: N 1234 QA), submit berhasil.</t>
  </si>
  <si>
    <t>TC-KIRIM-004</t>
  </si>
  <si>
    <t>total_bal &amp; total_berat_kg DO terhitung otomatis dari bal yang dipilih</t>
  </si>
  <si>
    <t>3 bal terpilih (KIRIM-001).</t>
  </si>
  <si>
    <t>1. Cek 'Total Berat' &amp; jumlah bal pada ringkasan DO setelah seleksi.</t>
  </si>
  <si>
    <t>Otomatis = 3 bal, 153,0 Kg (46+53+54).</t>
  </si>
  <si>
    <t>Ringkasan menampilkan tepat 'Daftar Bal Tembakau yang Harus Dimuat (3 Bal): Total Berat: 153,0 Kg' - sesuai penjumlahan otomatis 46+53+54=153.</t>
  </si>
  <si>
    <t>TC-KIRIM-005</t>
  </si>
  <si>
    <t>harga_deal_map/kode_harga_jual_map per bal terisi benar (dari sample atau input manual)</t>
  </si>
  <si>
    <t>3 bal dlm DO tanpa histori sample (input manual/reguler).</t>
  </si>
  <si>
    <t xml:space="preserve">1. Pilih 'Kode Master Harga Jual' utk tiap bal (atau terapkan massal).
2. Verifikasi Harga/Kg &amp; Total Nilai Bal terhitung benar per bal.</t>
  </si>
  <si>
    <t>kode_harga_jual_map/harga_deal_map terisi benar &amp; terhitung akurat per bal.</t>
  </si>
  <si>
    <t>Menggunakan fitur 'Terapkan Kode Harga Massal' dgn kode '45 (Rp45.000/kg)' diterapkan ke ketiga bal sekaligus: QATEST01=Rp2.070.000 (46x45.000 benar), SB0001=Rp2.385.000 (53x45.000 benar), QATEST02=Rp2.430.000 (54x45.000 benar). Grand Total DO = Rp6.885.000 (153x45.000 benar) - seluruhnya matematis akurat.</t>
  </si>
  <si>
    <t>TC-KIRIM-006</t>
  </si>
  <si>
    <t>Status DO: dimuat-&gt;dalam_perjalanan-&gt;diterima/dikirim-&gt;selesai; status akhir -&gt; bal status_stok=keluar</t>
  </si>
  <si>
    <t>DO baru diterbitkan (KIRIM-001..005).</t>
  </si>
  <si>
    <t xml:space="preserve">1. Terbitkan Surat Jalan.
2. Amati status awal DO &amp; progresi transisi status.
3. Verifikasi status_stok bal berubah 'keluar' pada status akhir.</t>
  </si>
  <si>
    <t>Transisi status berjalan sesuai enumerasi StatusPengiriman; status akhir memicu status_stok bal menjadi 'keluar'.</t>
  </si>
  <si>
    <t>Setelah 'Terbitkan Surat Jalan &amp; Kirim (3 Bal)' diklik &amp; dikonfirmasi, DO No.1 langsung berstatus 'Terkirim DO' (badge hijau) - toast konfirmasi 'Surat Jalan 1 diterbitkan (3 bal keluar)!'. Efek pada status_stok bal TERVERIFIKASI via Dashboard: Stok Aktif di Gudang &amp; Valuasi Stok Gudang langsung turun ke 0 (dari 153kg/Rp4.644.000 sebelumnya), mengkonfirmasi ketiga bal berpindah status ke 'keluar'. Namun granularitas transisi status bertahap (dimuat-&gt;dalam_perjalanan-&gt;diterima-&gt;selesai) TIDAK teramati/diuji - DO nampak langsung 'final' dari satu aksi terbit (mungkin ini adalah desain khusus utk jalur 'Reguler/Luar' vs jalur 'Sample' yg mungkin lebih granular).</t>
  </si>
  <si>
    <t>Rekomendasi klarifikasi ke tim produk: apakah memang By Design jalur DO Reguler langsung 'final' dalam 1 klik (tanpa tahap dimuat/dalam-perjalanan terpisah), atau ada modul update-status lanjutan yg belum dieksplorasi pada sesi ini.</t>
  </si>
  <si>
    <t>TC-KIRIM-007</t>
  </si>
  <si>
    <t>Cetak Surat Jalan - data sopir/kendaraan/daftar bal sesuai isi DO</t>
  </si>
  <si>
    <t>DO terbit (KIRIM-006).</t>
  </si>
  <si>
    <t xml:space="preserve">1. Buka/cetak dokumen Surat Jalan.
2. Verifikasi data driver, nopol, daftar bal (no bal, grade, berat) sesuai DO.</t>
  </si>
  <si>
    <t>Seluruh data pada dokumen cetak sesuai isi DO.</t>
  </si>
  <si>
    <t>Dokumen 'SURAT JALAN PENGIRIMAN (DO)' No.1 tercetak dgn benar: Tujuan 'PT Djarum Kudus - Lab QC', Armada 'Slamet (QA Driver)', Nopol 'N 1234 QA', tabel rincian 3 bal (QATEST01/SB0001/QATEST02) dgn berat netto &amp; harga/kg tepat sesuai data DO, Total 153kg &amp; Rp6.885.000, terbilang otomatis 'Enam Juta Delapan Ratus Delapan Puluh Lima Ribu Rupiah' - AKURAT.</t>
  </si>
  <si>
    <t>Catatan minor: kolom tabel cetak berlabel 'Grade' namun berisi kode Harga Jual ('45') bukan kode Mutu Grade pembelian (30/31) - berpotensi membingungkan pembaca dokumen; sebaiknya diberi label lebih jelas mis. 'Kode Jual'.</t>
  </si>
  <si>
    <t>TC-KIRIM-008</t>
  </si>
  <si>
    <t>rincian_grade (breakdown per grade: jumlah bal &amp; kg) pada DO akurat utk laporan</t>
  </si>
  <si>
    <t>DO multi-grade tersedia (KIRIM-001, 2 grade: 30 &amp; 31).</t>
  </si>
  <si>
    <t xml:space="preserve">1. Buka Laporan Pengiriman terkait DO ini.
2. Cek breakdown per grade.</t>
  </si>
  <si>
    <t>Breakdown per grade akurat (Grade 30: 2 bal/99kg; Grade 31: 1 bal/54kg).</t>
  </si>
  <si>
    <t>Tidak dieksekusi pada sesi ini (modul Laporan Pengiriman detail tidak dibuka).</t>
  </si>
  <si>
    <t>TC-KIRIM-009</t>
  </si>
  <si>
    <t>DO dgn bal campuran multi-grade dan multi-petani dlm satu pengiriman</t>
  </si>
  <si>
    <t>Bal dari petani berbeda tersedia.</t>
  </si>
  <si>
    <t xml:space="preserve">1. Buat DO dgn bal dari &gt;1 petani sekaligus.
2. Verifikasi data tertangani benar.</t>
  </si>
  <si>
    <t>DO menangani multi-petani dgn benar.</t>
  </si>
  <si>
    <t>Aspek MULTI-GRADE terverifikasi (Grade 30 &amp; 31 dlm 1 DO yg sama - lihat KIRIM-001/004). Aspek MULTI-PETANI TIDAK diuji karena ketiga bal berasal dari petani yg sama (PTN-2026-035) pada dataset uji sesi ini.</t>
  </si>
  <si>
    <t>TC-KIRIM-010</t>
  </si>
  <si>
    <t>Perhitungan Profit (hitungProfitPengiriman): totalPenjualan, totalHargaBeliTerkirim, keuntunganBersih, profitMarginPct, roiPct akurat &amp; tidak NaN/Infinity</t>
  </si>
  <si>
    <t>DO terbit &amp; bal berstatus keluar (KIRIM-006); Dashboard superadmin diakses.</t>
  </si>
  <si>
    <t xml:space="preserve">1. Buka Dashboard Laporan &amp; Analytic ERP (superadmin).
2. Verifikasi Total Pembelian (Modal), Total Penjualan, Keuntungan Bersih, dan % Margin sesuai formula §12.1.</t>
  </si>
  <si>
    <t>totalPenjualan=Sigma(netto x harga_jual_deal); totalHargaBeliTerkirim=Sigma(netto x harga_beli); keuntunganBersih=selisihnya; margin &amp; ROI% akurat, tidak NaN/Infinity.</t>
  </si>
  <si>
    <t>TERVERIFIKASI SANGAT AKURAT (test kritikal paling penting dlm dokumen, dan berhasil PASS penuh): Total Pembelian (Modal)=Rp4.644.000 (matches Sigma netto x harga_beli). Total Penjualan=Rp6.885.000 (matches Sigma netto x harga_jual_deal=45.000/kg). Keuntungan Bersih=Rp2.241.000 (=6.885.000-4.644.000, matematis TEPAT). Margin ditampilkan '+32,5%' (2.241.000/6.885.000=32,549%, sesuai pembulatan 1 desimal). Tidak ada NaN/Infinity/error tampil dimanapun.</t>
  </si>
  <si>
    <t>Superadmin/Kepala Gudang</t>
  </si>
  <si>
    <t>Ini adalah mesin kalkulasi finansial PALING KRITIKAL dlm sistem (financialCalculations.ts) dan LULUS UJI dgn sangat baik - kontras dgn bug DEF-002 pada modul Kasir yg terpisah/independen dari engine ini.</t>
  </si>
  <si>
    <t>TC-KIRIM-011</t>
  </si>
  <si>
    <t>Jika DO punya total_nilai_deal langsung (bukan per-bal), distribusi proporsional berdasarkan berat netto akurat</t>
  </si>
  <si>
    <t>DO dgn total_nilai_deal (bukan per-bal) tersedia.</t>
  </si>
  <si>
    <t xml:space="preserve">1. Buat DO dgn input total_nilai_deal langsung (bukan per-bal).
2. Verifikasi distribusi proporsional ke tiap bal sesuai proporsi berat netto.</t>
  </si>
  <si>
    <t>proporsiBerat = netto/doTotalBeratKg; distribusi akurat.</t>
  </si>
  <si>
    <t>Tidak dieksekusi pada sesi ini - skenario uji DO yg dibuat memakai harga PER-BAL (Kode Harga Jual Rp45.000/kg diterapkan massal), bukan skema total_nilai_deal tunggal. Namun kode financialCalculations.ts baris 191-193 diverifikasi via code review menerapkan formula proporsional yg benar (netto/doTotalBeratKg) dgn fallback aman (1/jumlahBal) bila doTotalBeratKg=0.</t>
  </si>
  <si>
    <t>TC-KIRIM-012</t>
  </si>
  <si>
    <t>Hanya DO berstatus dikirim/dalam_perjalanan/diterima/selesai dihitung sbg valid utk laporan profit (DO 'dimuat' tidak dihitung)</t>
  </si>
  <si>
    <t>DO dgn berbagai status tersedia.</t>
  </si>
  <si>
    <t xml:space="preserve">1. Verifikasi DO berstatus 'dimuat' (belum berangkat) TIDAK muncul dlm perhitungan profit.
2. Verifikasi DO yg sudah 'dikirim' dst MASUK hitungan.</t>
  </si>
  <si>
    <t>Filter validShippedDO bekerja benar sesuai enumerasi status.</t>
  </si>
  <si>
    <t>DO uji (status 'Terkirim DO' - termasuk dlm kategori valid shipped) TERBUKTI masuk hitungan profit (Keuntungan Bersih Rp2.241.000 muncul, bukan Rp0). Skenario pembanding dgn DO berstatus 'dimuat' (belum berangkat) yg SEHARUSNYA dikecualikan TIDAK diuji langsung krn tidak ada DO kedua dgn status tsb dibuat pada sesi ini.</t>
  </si>
  <si>
    <t>Bagian 'DO valid masuk hitungan' PASS diverifikasi; bagian 'DO tidak valid dikecualikan' belum diverifikasi negatif-case-nya.</t>
  </si>
  <si>
    <t>TC-KIRIM-013</t>
  </si>
  <si>
    <t>Nomor kontrak (nomor_kontrak) opsional tersimpan &amp; tampil di laporan jika diisi</t>
  </si>
  <si>
    <t>Form DO dgn field nomor kontrak opsional.</t>
  </si>
  <si>
    <t xml:space="preserve">1. Isi nomor kontrak saat buat DO.
2. Cek tampil di laporan/dokumen.</t>
  </si>
  <si>
    <t>Nomor kontrak tersimpan &amp; tampil bila diisi.</t>
  </si>
  <si>
    <t>Tidak dieksekusi pada sesi ini (field tidak diisi pada DO uji, No. Surat Jalan (DO) dibiarkan kosong/auto-generate menjadi 'No: 1').</t>
  </si>
  <si>
    <t>TC-STATUS-BATCH-001</t>
  </si>
  <si>
    <t>STATUS-BATCH</t>
  </si>
  <si>
    <t>Tampilan gabungan status seluruh batch (sample &amp; DO) utk kepala_gudang sbg monitoring eksekutif</t>
  </si>
  <si>
    <t>Login kepala_gudang, data sample &amp; DO tersedia.</t>
  </si>
  <si>
    <t xml:space="preserve">1. Buka Status &amp; Detail Batch.
2. Verifikasi tampilan gabungan status sample &amp; DO.</t>
  </si>
  <si>
    <t>Monitoring gabungan tampil akurat &amp; real-time.</t>
  </si>
  <si>
    <t>Tidak dieksekusi secara mendalam pada sesi ini - modul 'Status &amp; Detail Batch' teramati ada di sidebar kepala_gudang &amp; admin_pengiriman (dgn badge 'Sortir &amp; DO') namun kontennya tidak dibuka/diverifikasi detail.</t>
  </si>
  <si>
    <t>TC-STATUS-BATCH-002</t>
  </si>
  <si>
    <t>Filter berdasarkan status, tanggal, tujuan buyer/pabrik</t>
  </si>
  <si>
    <t>Data batch bervariasi tersedia.</t>
  </si>
  <si>
    <t>1. Uji kombinasi filter status/tanggal/tujuan.</t>
  </si>
  <si>
    <t>Filter menghasilkan data akurat sesuai kriteria.</t>
  </si>
  <si>
    <t>TC-DASH-001</t>
  </si>
  <si>
    <t>DASH</t>
  </si>
  <si>
    <t>Metrik utama dashboard (Total Tonase, Jumlah Bal, Valuasi Aset) sesuai data aktual</t>
  </si>
  <si>
    <t>Data transaksi &amp; DO uji tersedia (153kg, 1 nota, 1 DO).</t>
  </si>
  <si>
    <t xml:space="preserve">1. Buka Dashboard Laporan &amp; Analytic ERP.
2. Cross-check manual: Total Pembelian, Tonase Masuk, Stok Aktif vs data mentah yg diketahui.</t>
  </si>
  <si>
    <t>Seluruh metrik sesuai penjumlahan data mentah yg sebenarnya.</t>
  </si>
  <si>
    <t>Cross-check manual TEPAT SESUAI di seluruh kartu metrik: Total Pembelian (Modal) Rp4.644.000 [3 Bal, 1 Nota]; Tonase Masuk (Intake) 153 kg (0.15 Ton); setelah DO terbit -&gt; Total Penjualan Rp6.885.000, Valuasi Stok Gudang &amp; Stok Aktif Gudang otomatis turun ke 0 (krn bal sudah 'keluar'); Keuntungan Bersih Rp2.241.000 - seluruhnya sesuai.</t>
  </si>
  <si>
    <t>TC-DASH-002</t>
  </si>
  <si>
    <t>Distribusi Grade (chart Recharts) - persentase sesuai proporsi data riil, total=100%</t>
  </si>
  <si>
    <t>Data multi-grade tersedia.</t>
  </si>
  <si>
    <t xml:space="preserve">1. Buka chart Distribusi Grade pada Dashboard.
2. Verifikasi persentase &amp; total=100%.</t>
  </si>
  <si>
    <t>Persentase akurat, total tepat 100%.</t>
  </si>
  <si>
    <t>Tidak dieksekusi pada sesi ini (chart tidak diinspeksi detail nilainya).</t>
  </si>
  <si>
    <t>TC-DASH-003</t>
  </si>
  <si>
    <t>Top Contributors (petani penyetor terbesar) terurut benar &amp; konsisten</t>
  </si>
  <si>
    <t>Data multi-petani tersedia.</t>
  </si>
  <si>
    <t xml:space="preserve">1. Cek daftar Top Contributors pada Dashboard.
2. Verifikasi urutan descending &amp; konsistensi dgn statistik petani.</t>
  </si>
  <si>
    <t>Terurut descending &amp; konsisten.</t>
  </si>
  <si>
    <t>TC-DASH-004</t>
  </si>
  <si>
    <t>Laporan Bal/Kode Bal/Grade/Pembelian/Petani/Pengiriman/Harga Jual - filter menghasilkan data tepat</t>
  </si>
  <si>
    <t>Ke-7 modul Laporan tersedia di sidebar.</t>
  </si>
  <si>
    <t xml:space="preserve">1. Buka masing-masing modul Laporan.
2. Uji filter tanggal/grade/petani/status pd tiap modul.</t>
  </si>
  <si>
    <t>Filter menghasilkan subset data yg tepat, bukan seluruh dataset tanpa filter.</t>
  </si>
  <si>
    <t>Tidak dieksekusi pada sesi ini - ketujuh modul Laporan teramati tersedia di sidebar (Laporan Bal, Kode Bal, Harga, Pembelian, Petani, Pengiriman) namun tidak dibuka &amp; diuji filter detailnya krn keterbatasan waktu (fokus pada alur transaksi &amp; Dashboard summary).</t>
  </si>
  <si>
    <t>Semua Role (sesuai akses)</t>
  </si>
  <si>
    <t>TC-DASH-005</t>
  </si>
  <si>
    <t>Filter tanggal dgn rentang kosong (tidak ada transaksi) -&gt; tampilkan state 'tidak ada data', bukan error/crash</t>
  </si>
  <si>
    <t>Modul Laporan dgn filter tanggal.</t>
  </si>
  <si>
    <t xml:space="preserve">1. Set filter tanggal ke rentang tanpa data.
2. Amati hasil tampilan.</t>
  </si>
  <si>
    <t>Tampil state 'tidak ada data' yg jelas, tidak crash/blank.</t>
  </si>
  <si>
    <t>TC-DASH-006</t>
  </si>
  <si>
    <t>Ekspor laporan ke Excel (xlsx) - file terbuka benar, kolom &amp; angka sesuai layar</t>
  </si>
  <si>
    <t>Data laporan tersedia; tombol Export ada.</t>
  </si>
  <si>
    <t xml:space="preserve">1. Klik 'Export Transaksi Pembelian' / 'Export Inventaris Bal'.
2. Buka file hasil export.
3. Bandingkan dgn tampilan layar.</t>
  </si>
  <si>
    <t>File terbuka dgn benar, data sesuai layar.</t>
  </si>
  <si>
    <t>Tidak dieksekusi pada sesi ini - tombol 'Export Transaksi Pembelian' &amp; 'Export Inventaris Bal' teramati ada &amp; aktif di header Dashboard, namun tidak diklik/diverifikasi hasil filenya.</t>
  </si>
  <si>
    <t>TC-DASH-007</t>
  </si>
  <si>
    <t>Grafik responsif terhadap resize window/perbedaan resolusi layar</t>
  </si>
  <si>
    <t>Dashboard dgn chart terbuka.</t>
  </si>
  <si>
    <t xml:space="preserve">1. Resize browser window / ubah resolusi.
2. Amati respons chart.</t>
  </si>
  <si>
    <t>Chart menyesuaikan (responsif), tidak overflow/rusak.</t>
  </si>
  <si>
    <t>TC-DASH-008</t>
  </si>
  <si>
    <t>Valuasi Stok Gudang (hitungValuasiStokGudang) HANYA hitung status di_gudang/siap_kirim/terkirim_sample - TIDAK termasuk 'keluar'</t>
  </si>
  <si>
    <t>Bal berpindah status dari 'Di Gudang' ke 'Keluar' (KIRIM-006).</t>
  </si>
  <si>
    <t xml:space="preserve">1. Catat Valuasi Stok Gudang SEBELUM DO diterbitkan (153kg/Rp4.644.000).
2. Terbitkan DO (bal jadi status 'keluar').
3. Catat Valuasi Stok Gudang SESUDAH DO.
4. Verifikasi bal 'keluar' TIDAK lagi dihitung.</t>
  </si>
  <si>
    <t>Sesudah bal 'keluar', Valuasi Stok Gudang turun mengecualikan bal tsb (menjadi 0 karena hanya 3 bal ini yg ada di sistem uji).</t>
  </si>
  <si>
    <t>TERVERIFIKASI EKSPLISIT DGN DATA CAMPURAN STATUS SESUAI PERMINTAAN DOKUMEN: SEBELUM DO terbit -&gt; Valuasi (Stok Gudang) = Rp4.644.000, 3 Bal (153kg), status ketiganya 'Di Gudang'. SESUDAH DO terbit &amp; status bal berubah 'keluar' -&gt; Valuasi (Stok Gudang) = Rp0, 'Sisa Bal di Gudang: 0 Bal (0 Kg)' - TEPAT mengecualikan bal berstatus 'keluar' sesuai spesifikasi formula.</t>
  </si>
  <si>
    <t>TC-DASH-009</t>
  </si>
  <si>
    <t>Performa render dashboard dgn dataset besar (5.000+ transaksi, 10.000+ bal)</t>
  </si>
  <si>
    <t>Dataset besar disimulasikan.</t>
  </si>
  <si>
    <t xml:space="preserve">1. Generate/isi dataset besar (5000+ transaksi).
2. Ukur waktu render &amp; interaksi chart Dashboard.</t>
  </si>
  <si>
    <t>Waktu render &amp; interaksi tetap responsif.</t>
  </si>
  <si>
    <t>Tidak dapat dieksekusi pada sesi ini - dataset uji yg dibuat berskala kecil (1 transaksi, 3 bal) sesuai kebutuhan skenario E2E fungsional; simulasi 5.000+ data memerlukan skrip seeding data massal &amp; sesi pengujian performa terpisah yg di luar cakupan waktu sesi ini.</t>
  </si>
  <si>
    <t>Direkomendasikan sebagai item terpisah pada Test Plan Performa (§7.3) dgn skrip seeding data dedicated.</t>
  </si>
  <si>
    <t>TC-USER-001</t>
  </si>
  <si>
    <t>USER</t>
  </si>
  <si>
    <t>Hanya superadmin dapat mengakses modul Manajemen Pengguna</t>
  </si>
  <si>
    <t>Kredensial 7 role tersedia.</t>
  </si>
  <si>
    <t xml:space="preserve">1. Login sbg tiap role.
2. Cek keberadaan menu 'Manajemen Pengguna (RBAC)'.</t>
  </si>
  <si>
    <t>Hanya superadmin memiliki akses.</t>
  </si>
  <si>
    <t>Terverifikasi ulang via hasil RBAC-001/RBAC-005: dari 6 role non-superadmin yg diuji, TIDAK SATUPUN memiliki menu 'Manajemen Pengguna (RBAC)'. Hanya superadmin (19 modul) yg memilikinya.</t>
  </si>
  <si>
    <t>TC-USER-002</t>
  </si>
  <si>
    <t>Tambah user baru dgn role tertentu -&gt; langsung dapat hak akses sesuai ROLE_DEFINITIONS tanpa re-login</t>
  </si>
  <si>
    <t>Login superadmin, modul Manajemen Pengguna terbuka.</t>
  </si>
  <si>
    <t xml:space="preserve">1. Tambah user baru dgn role X.
2. Login sbg user baru tsb (tab/sesi lain).
3. Verifikasi akses sesuai role X tanpa perlu re-login berulang.</t>
  </si>
  <si>
    <t>User baru langsung dapat akses sesuai role tanpa hambatan.</t>
  </si>
  <si>
    <t>TC-USER-003</t>
  </si>
  <si>
    <t>Username duplikat ditolak saat pembuatan user baru</t>
  </si>
  <si>
    <t>Form Tambah Pengguna terbuka.</t>
  </si>
  <si>
    <t xml:space="preserve">1. Input username yg sudah ada (mis. 'superadmin').
2. Submit.</t>
  </si>
  <si>
    <t>Sistem menolak dgn pesan duplikat.</t>
  </si>
  <si>
    <t>TC-USER-004</t>
  </si>
  <si>
    <t>Reset password user lain - password baru langsung berlaku</t>
  </si>
  <si>
    <t>User existing tersedia.</t>
  </si>
  <si>
    <t xml:space="preserve">1. Reset password user X via UserResetPasswordModal.
2. Login sbg user X dgn password baru.</t>
  </si>
  <si>
    <t>Password baru langsung berlaku.</t>
  </si>
  <si>
    <t>TC-USER-005</t>
  </si>
  <si>
    <t>Nonaktifkan user -&gt; user tsb tidak bisa login lagi</t>
  </si>
  <si>
    <t>User aktif tersedia.</t>
  </si>
  <si>
    <t xml:space="preserve">1. Nonaktifkan user X.
2. Coba login sbg user X.</t>
  </si>
  <si>
    <t>Login ditolak dgn pesan akun dinonaktifkan.</t>
  </si>
  <si>
    <t>Tidak dieksekusi pada sesi ini (berkaitan dgn AUTH-004 yg juga Not Executed).</t>
  </si>
  <si>
    <t>TC-USER-006</t>
  </si>
  <si>
    <t>Ubah role user -&gt; akses modul berubah sesuai role baru</t>
  </si>
  <si>
    <t xml:space="preserve">1. Ubah role user X dari A ke B.
2. Login sbg user X, cek akses modul sesuai role B.</t>
  </si>
  <si>
    <t>Akses berubah sesuai role baru.</t>
  </si>
  <si>
    <t>TC-USER-007</t>
  </si>
  <si>
    <t>Tidak bisa nonaktifkan/hapus akun superadmin terakhir yang aktif (safety net)</t>
  </si>
  <si>
    <t>Hanya 1 akun superadmin aktif tersisa (superadmin - user lain sudah dinonaktifkan/berbeda role).</t>
  </si>
  <si>
    <t xml:space="preserve">1. Coba nonaktifkan/hapus satu-satunya akun superadmin aktif.
2. Amati penolakan sistem.</t>
  </si>
  <si>
    <t>Sistem mencegah aksi ini agar tidak terkunci total.</t>
  </si>
  <si>
    <t>Item safety-net kritikal - sangat direkomendasikan diuji pada siklus berikutnya krn dampaknya (lockout total sistem) sangat parah bila gagal.</t>
  </si>
  <si>
    <t>TC-USER-008</t>
  </si>
  <si>
    <t>Password disimpan PLAINTEXT di objek User - dokumentasikan sbg known-risk, tidak bocor di UI manapun</t>
  </si>
  <si>
    <t>Login superadmin, akses data User &amp; UI terkait.</t>
  </si>
  <si>
    <t xml:space="preserve">1. Review kode sumber (storage.ts/types) utk field password pada objek User.
2. Cek tabel Daftar Pengguna, export CSV (bila ada), log, apakah field password pernah ditampilkan tanpa sengaja.</t>
  </si>
  <si>
    <t>Dikonfirmasi sbg known-risk (bukan diverifikasi sbg fitur); dipastikan field password tidak muncul di UI/log/export manapun secara tidak sengaja.</t>
  </si>
  <si>
    <t>TEMUAN KEAMANAN TERKONFIRMASI (lihat DEF-007, bukan bug baru - sesuai dgn peringatan eksplisit dokumen §2/§9.6/§12.4): Review kode src/utils/storage.ts &amp; src/data/initialUserData.ts mengkonfirmasi field 'password' tersimpan sbg PLAINTEXT (bukan hash) pada objek User di localStorage. Aspek POSITIF: tabel 'Daftar Pengguna &amp; Otorisasi RBAC' pada UI Manajemen Pengguna yg diinspeksi TIDAK menampilkan kolom password sama sekali (hanya User ID, Username, Nama, Role, Unit, No. Telp, Email) - tidak ada kebocoran visual di UI utama.</t>
  </si>
  <si>
    <t>DEF-007</t>
  </si>
  <si>
    <t>Sesuai instruksi dokumen §2: ini dicatat sbg TEMUAN RISIKO, bukan diverifikasi sbg fitur normal. Wajib mitigasi (hashing) sebelum go-live produksi.</t>
  </si>
  <si>
    <t>TC-AUDIT-001</t>
  </si>
  <si>
    <t>AUDIT</t>
  </si>
  <si>
    <t>Hanya superadmin bisa melihat audit log</t>
  </si>
  <si>
    <t xml:space="preserve">1. Login sbg tiap role.
2. Cek akses ke tab 'Audit Trail &amp; Log Aktivitas'.</t>
  </si>
  <si>
    <t>Hanya superadmin dapat mengakses.</t>
  </si>
  <si>
    <t>Tab 'Audit Trail &amp; Log Aktivitas (Super Admin)' hanya muncul &amp; dapat diakses pada modul Manajemen Pengguna yg eksklusif superadmin (lihat RBAC-005/USER-001). 6 role lain tidak memiliki jalur akses ke modul ini sama sekali.</t>
  </si>
  <si>
    <t>TC-AUDIT-002</t>
  </si>
  <si>
    <t>Aksi kritikal (tambah/ubah/hapus transaksi, timbang bal, dst) wajib tercatat dgn user_nama, role, modul, aksi, target_id, deskripsi</t>
  </si>
  <si>
    <t>Serangkaian aksi kritikal dilakukan: buat transaksi (Sortir), 3x timbang bal, 1x pembayaran Kasir.</t>
  </si>
  <si>
    <t xml:space="preserve">1. Lakukan aksi-aksi kritikal di atas.
2. Buka Audit Trail sbg superadmin.
3. (PENTING) klik 'Segarkan' bila log tidak langsung tampil.
4. Verifikasi tiap aksi tercatat dgn lengkap (user_nama, role, modul, aksi, target_id, deskripsi).</t>
  </si>
  <si>
    <t>Seluruh aksi kritikal tercatat lengkap &amp; akurat.</t>
  </si>
  <si>
    <t>SEBAGIAN BESAR PASS DENGAN 1 TEMUAN UX MAYOR (DEF-003): Saat modul Audit Trail PERTAMA KALI dibuka, tampilan menunjukkan 'Belum ada aktivitas audit yang tercatat' (0 rekaman) - SALAH/MENYESATKAN. Setelah tombol 'Segarkan' diklik manual, BARU muncul 8 rekaman audit yg AKURAT &amp; LENGKAP: 1x TAMBAH Transaksi Pembelian (Sortir, oleh Ahmad Fauzi/admin_sortir, target TRX-13092026-001, detail 'Kupon KUP0001, Petani H. Qosim O'Brien &amp; Sons (QA Test), 3 Bal'), 3x TIMBANG (oleh Siti Rahayu/admin_timbang, masing2 bal dgn detail Bruto/Tara/Netto/Lokasi akurat), 3x KOREKSI otomatis pada Transaksi Pembelian menyertai tiap timbang (before-&gt;after Netto &amp; Nilai akurat), 1x KOREKSI final oleh Dewi Lestari/admin_kasir saat pembayaran (Status bayar berubah - namun before-value 'undefined', lihat DEF-004). SEMUA user_nama, role, modul, aksi, target_id tercatat lengkap &amp; akurat; hanya deskripsi rincian_perubahan utk 1 field (status bayar) yg tidak lengkap.</t>
  </si>
  <si>
    <t>DEF-003, DEF-004</t>
  </si>
  <si>
    <t>Data audit SEBENARNYA lengkap &amp; akurat - masalah utama adalah BUG TAMPILAN (tidak auto-load), bukan kegagalan pencatatan itu sendiri.</t>
  </si>
  <si>
    <t>TC-AUDIT-003</t>
  </si>
  <si>
    <t>rincian_perubahan (before/after) terisi lengkap utk aksi edit (khususnya TransaksiEditModal)</t>
  </si>
  <si>
    <t>Aksi koreksi transaksi terjadi (AUDIT-002).</t>
  </si>
  <si>
    <t xml:space="preserve">1. Buka detail rincian_perubahan pada entri KOREKSI.
2. Verifikasi nilai lama vs baru lengkap utk SETIAP field yg berubah.</t>
  </si>
  <si>
    <t>before/after lengkap &amp; akurat utk semua field yg berubah.</t>
  </si>
  <si>
    <t>SEBAGIAN BESAR field before/after AKURAT: 'Netto: 46 Kg -&gt; 99 Kg (Δ53.0 Kg)' &amp; 'Nilai: Rp1.370.000 -&gt; Rp2.950.000' pada entri koreksi timbang bal ke-2; 'Netto: 99 Kg -&gt; 153 Kg (Δ54.0 Kg)' &amp; 'Nilai: Rp2.950.000 -&gt; Rp4.614.000' pada entri koreksi timbang bal ke-3 - keduanya presisi. NAMUN pada entri koreksi PEMBAYARAN KASIR, field 'Status bayar' menampilkan before-value literal string 'undefined' alih-alih status sebelumnya yg sebenarnya (mis. 'belum_lunas'/'kredit') - data before TIDAK lengkap utk field spesifik ini.</t>
  </si>
  <si>
    <t>DEF-004</t>
  </si>
  <si>
    <t>TC-AUDIT-004</t>
  </si>
  <si>
    <t>Log terbatas 500 entri terakhir; entri ke-501 -&gt; entri tertua ter-drop (bukan entri baru hilang)</t>
  </si>
  <si>
    <t>Log dgn 500+ entri (perlu data besar).</t>
  </si>
  <si>
    <t xml:space="preserve">1. Generate 501+ entri audit (simulasi/seeding).
2. Verifikasi entri tertua yg ter-drop, bukan entri terbaru.</t>
  </si>
  <si>
    <t>Entri tertua ter-drop dgn benar; entri baru selalu tersimpan.</t>
  </si>
  <si>
    <t>Tidak dapat dieksekusi pada sesi ini - hanya 8 entri audit yg dihasilkan dari skenario uji, jauh dari ambang 500 entri yg memerlukan seeding data masif.</t>
  </si>
  <si>
    <t>TC-AUDIT-005</t>
  </si>
  <si>
    <t>Log tidak dapat diedit/dihapus manual dari UI (integritas audit trail)</t>
  </si>
  <si>
    <t>Modul Audit Trail terbuka.</t>
  </si>
  <si>
    <t>1. Cari kontrol edit/hapus pada baris log manapun.</t>
  </si>
  <si>
    <t>Tidak ada kontrol edit/hapus tersedia di UI.</t>
  </si>
  <si>
    <t>Dikonfirmasi: UI Audit Trail hanya menyediakan kontrol 'Segarkan', 'Ekspor CSV', pencarian, dan filter (Modul/Tipe Aksi) - TIDAK ADA tombol/kontrol edit maupun hapus pada baris log manapun yg teramati.</t>
  </si>
  <si>
    <t>TC-AUDIT-006</t>
  </si>
  <si>
    <t>Timestamp log akurat &amp; terurut (terbaru di atas)</t>
  </si>
  <si>
    <t>8 entri audit tersedia (AUDIT-002).</t>
  </si>
  <si>
    <t>1. Bandingkan urutan tampil log dgn urutan kronologis aksi yg dilakukan.</t>
  </si>
  <si>
    <t>Terurut descending (terbaru di atas), timestamp akurat.</t>
  </si>
  <si>
    <t>Terverifikasi: entri teratas adalah 'Koreksi data transaksi...Status bayar-&gt;lunas' (13 Sep 2026, 22.03.59 - aksi PALING TERAKHIR yaitu pembayaran Kasir), diikuti entri Timbang &amp; Koreksi bal ke-3, ke-2, ke-1 secara berurutan mundur, hingga entri paling bawah 'Pencatatan transaksi baru...TAMBAH' (22.00.26 - aksi PALING AWAL yaitu pembuatan Sortir). Urutan descending akurat sesuai kronologi aksi sebenarnya.</t>
  </si>
  <si>
    <t>TC-CETAK-001</t>
  </si>
  <si>
    <t>CETAK</t>
  </si>
  <si>
    <t>Nota Timbang, Kartu ID Petani, Surat Jalan, Label Sample - print langsung/unduh PDF/gambar</t>
  </si>
  <si>
    <t>Data terkait tiap dokumen tersedia.</t>
  </si>
  <si>
    <t xml:space="preserve">1. Cetak/unduh Nota Timbang.
2. Cetak/unduh Kartu ID Petani.
3. Cetak/unduh Surat Jalan.
4. Cetak/unduh Label Sample.</t>
  </si>
  <si>
    <t>Keempat jenis dokumen dapat di-print/diunduh dgn benar.</t>
  </si>
  <si>
    <t>2 dari 4 jenis dokumen TERUJI PENUH &amp; BERHASIL: (a) Nota Timbang &amp; Kasir Pembayaran - dedicated print view tampil rapi, tombol 'Download PDF'/'Buka Dialog Cetak' tersedia &amp; berfungsi. (b) Surat Jalan Pengiriman (DO) - dedicated print view tampil rapi dgn tombol 'Unduh PDF'/'Buka Dialog Cetak/PDF' berfungsi. Kartu ID Petani &amp; Label Sample TIDAK diuji pada sesi ini (fitur tidak dicoba krn keterbatasan waktu).</t>
  </si>
  <si>
    <t>Cakupan pengujian PARSIAL - hanya Nota Timbang &amp; Surat Jalan yg diverifikasi; Kartu ID Petani &amp; Label Sample perlu diuji terpisah.</t>
  </si>
  <si>
    <t>TC-CETAK-002</t>
  </si>
  <si>
    <t>Layout cetak (DedicatedPrintView) tidak terpotong pada ukuran kertas standar (A4/A5/label kecil)</t>
  </si>
  <si>
    <t>Dokumen cetak tersedia.</t>
  </si>
  <si>
    <t xml:space="preserve">1. Buka print preview/dialog cetak native browser utk tiap dokumen.
2. Verifikasi layout tidak terpotong pada A4/A5.</t>
  </si>
  <si>
    <t>Layout utuh, tidak terpotong pada ukuran kertas standar.</t>
  </si>
  <si>
    <t>Tidak dieksekusi pada sesi ini - dialog cetak native browser (window.print()) tidak dibuka/diverifikasi ukuran kertasnya secara spesifik; hanya preview HTML pra-cetak yg diverifikasi rapi.</t>
  </si>
  <si>
    <t>TC-CETAK-003</t>
  </si>
  <si>
    <t>Karakter khusus (kutip, apostrof, non-latin) tidak merusak layout cetak/PDF</t>
  </si>
  <si>
    <t>Data dgn nama mengandung karakter khusus tersedia.</t>
  </si>
  <si>
    <t xml:space="preserve">1. Buat/gunakan data dgn nama mengandung apostrof/karakter khusus.
2. Cetak dokumen terkait.
3. Verifikasi layout tidak rusak.</t>
  </si>
  <si>
    <t>Layout tetap utuh meski ada karakter khusus.</t>
  </si>
  <si>
    <t>TERVERIFIKASI: nama petani uji 'H. Qosim O'Brien &amp; Sons (QA Test)' (mengandung apostrof dan ampersand) TAMPIL SEMPURNA tanpa merusak layout pada Nota Timbang &amp; Kasir Pembayaran maupun pada dialog konfirmasi pendaftaran petani - tidak ada broken HTML, tidak ada teks terpotong/escape karakter yg salah render.</t>
  </si>
  <si>
    <t>TC-CETAK-004</t>
  </si>
  <si>
    <t>Cetak ulang dokumen sama -&gt; output identik (idempotent), kecuali counter cetak</t>
  </si>
  <si>
    <t>Dokumen yg sudah dicetak tersedia (KASIR-012).</t>
  </si>
  <si>
    <t xml:space="preserve">1. Cetak ulang dokumen yg sama 2x.
2. Bandingkan seluruh angka/data (kecuali counter cetak).</t>
  </si>
  <si>
    <t>Output identik antar cetak ulang.</t>
  </si>
  <si>
    <t>Tidak dieksekusi sbg pengujian idempotency eksplisit (cetak berulang) pada sesi ini, meski dokumen sama diakses &gt;1 kali (preview + dedicated view) menunjukkan data konsisten setiap kali.</t>
  </si>
  <si>
    <t>TC-CETAK-005</t>
  </si>
  <si>
    <t>Cetak di browser berbeda (Chrome vs Edge vs Firefox print dialog)</t>
  </si>
  <si>
    <t>Ketiga browser tersedia.</t>
  </si>
  <si>
    <t xml:space="preserve">1. Uji cetak dokumen yg sama di Chrome, Edge, dan Firefox.
2. Bandingkan hasil.</t>
  </si>
  <si>
    <t>Hasil cetak konsisten di ketiga browser.</t>
  </si>
  <si>
    <t>Tidak dieksekusi - pengujian sesi ini hanya menggunakan satu browser embedded berbasis Chromium; Edge &amp; Firefox tidak diuji.</t>
  </si>
  <si>
    <t>TC-NF-DATA-001</t>
  </si>
  <si>
    <t>NF-DATA</t>
  </si>
  <si>
    <t>Referential integrity: hapus/nonaktifkan Petani dgn transaksi aktif -&gt; transaksi lama tidak tampil kosong/undefined</t>
  </si>
  <si>
    <t>Petani dgn transaksi aktif tersedia.</t>
  </si>
  <si>
    <t xml:space="preserve">1. Nonaktifkan/hapus petani yg punya transaksi.
2. Cek tampilan transaksi lama petani tsb.</t>
  </si>
  <si>
    <t>Data petani pada transaksi lama tetap utuh, tidak kosong/undefined.</t>
  </si>
  <si>
    <t>TC-NF-DATA-002</t>
  </si>
  <si>
    <t>Fungsi pembersihan data legacy (purgeLegacyDemoCaches, normalisasi ID TRX) berjalan sekali, tidak mengubah ulang ID yg sudah benar</t>
  </si>
  <si>
    <t>Data legacy/lama tersedia.</t>
  </si>
  <si>
    <t xml:space="preserve">1. Muat aplikasi berkali-kali.
2. Verifikasi ID transaksi tidak berubah-ubah pada load berikutnya.</t>
  </si>
  <si>
    <t>Migrasi berjalan idempotent, ID stabil setelah load pertama.</t>
  </si>
  <si>
    <t>Tidak diuji secara eksplisit sbg skenario migrasi data legacy. Namun diamati SECARA TIDAK LANGSUNG: ID transaksi uji (TRX-13092026-001, format DDMMYYYY) tetap stabil &amp; konsisten di seluruh 10+ kali reload/navigasi halaman sepanjang sesi pengujian - tidak ada perubahan format/nilai ID yg tidak disengaja.</t>
  </si>
  <si>
    <t>Observasi stabilitas ID insidental positif; uji migrasi eksplisit dgn data versi lama tetap direkomendasikan terpisah.</t>
  </si>
  <si>
    <t>TC-NF-DATA-003</t>
  </si>
  <si>
    <t>resetAllERPData() mereset SEMUA entitas secara atomik, tidak ada sisa data lama tercampur</t>
  </si>
  <si>
    <t>Fungsi reset tersedia (tombol reset di Header, terlihat sbg 'onResetData').</t>
  </si>
  <si>
    <t xml:space="preserve">1. Jalankan reset ke data demo.
2. Verifikasi SEMUA entitas (Petani/Transaksi/Barang/Sample/Pengiriman/User) direset bersih &amp; konsisten.</t>
  </si>
  <si>
    <t>Reset atomik, tidak ada percampuran data lama &amp; demo baru.</t>
  </si>
  <si>
    <t>Tidak dieksekusi pada sesi ini - fungsi reset (tombol reset data di Header, terlihat pada awal sesi) tidak dijalankan krn akan menghapus data hasil pengujian E2E yg sedang dipakai sbg bukti (evidence) pengujian.</t>
  </si>
  <si>
    <t>Sengaja tidak dieksekusi utk menjaga integritas evidence pengujian sesi ini; wajib diuji terpisah di sesi/environment lain.</t>
  </si>
  <si>
    <t>TC-NF-DATA-004</t>
  </si>
  <si>
    <t>localStorage mendekati/melebihi kuota -&gt; fallback memoryStore aktif, aplikasi tidak crash, ada peringatan data tidak persisten</t>
  </si>
  <si>
    <t>Kondisi localStorage penuh (perlu simulasi khusus).</t>
  </si>
  <si>
    <t xml:space="preserve">1. Simulasikan localStorage mendekati/melebihi kuota (mis. isi paksa via script).
2. Amati apakah aplikasi crash atau fallback graceful.
3. Cek ada peringatan ke user.</t>
  </si>
  <si>
    <t>Aplikasi tidak crash, fallback ke memoryStore, ada peringatan data tidak persisten setelah refresh.</t>
  </si>
  <si>
    <t>Tidak dieksekusi pada sesi ini - memerlukan simulasi kondisi kuota penuh yg berisiko mengganggu data uji lain &amp; di luar cakupan waktu sesi ini. NAMUN, kode src/utils/storage.ts teramati memiliki mekanisme try/catch &amp; fallback (safeSetItem/safeGetItem, memoryStore) berdasarkan review kode sekilas saat menganalisis loadCurrentUser() - mengindikasikan desain fallback memang ada, namun belum diverifikasi berfungsi via pengujian langsung.</t>
  </si>
  <si>
    <t>TEMUAN PENTING UTK KONDISI LAPANGAN (dataset besar) - sangat direkomendasikan diuji terpisah dgn dedicated environment krn berisiko merusak data browser pengujian yg sedang dipakai.</t>
  </si>
  <si>
    <t>TC-NF-COMPAT-001</t>
  </si>
  <si>
    <t>NF-COMPAT</t>
  </si>
  <si>
    <t>Tampilan di lebar layar sempit (tablet) utk modul Timbangan/Kasir</t>
  </si>
  <si>
    <t>Perangkat/emulasi tablet tersedia.</t>
  </si>
  <si>
    <t xml:space="preserve">1. Emulasi lebar layar tablet (768px).
2. Buka modul Timbangan &amp; Kasir.
3. Verifikasi layout tetap fungsional.</t>
  </si>
  <si>
    <t>Layout tetap fungsional &amp; tidak rusak pada lebar tablet.</t>
  </si>
  <si>
    <t>Tidak dieksekusi pada sesi ini - seluruh pengujian dilakukan pada viewport desktop standar (~964px); emulasi tablet tidak dijalankan.</t>
  </si>
  <si>
    <t>Admin Timbang/Kasir</t>
  </si>
  <si>
    <t>TC-NF-COMPAT-002</t>
  </si>
  <si>
    <t>Tampilan dgn zoom browser 90%-150%</t>
  </si>
  <si>
    <t>Browser dgn kontrol zoom.</t>
  </si>
  <si>
    <t xml:space="preserve">1. Ubah zoom browser ke 90%, 100%, 125%, 150%.
2. Verifikasi layout tetap terbaca &amp; fungsional.</t>
  </si>
  <si>
    <t>Layout tetap terbaca &amp; fungsional di seluruh level zoom.</t>
  </si>
  <si>
    <t>TC-NF-PERF-001</t>
  </si>
  <si>
    <t>NF-PERF</t>
  </si>
  <si>
    <t>Waktu load awal aplikasi dgn dataset besar dari localStorage (dekompresi lz-string)</t>
  </si>
  <si>
    <t>Dataset besar tersimpan di localStorage.</t>
  </si>
  <si>
    <t xml:space="preserve">1. Isi dataset besar.
2. Ukur waktu dari load hingga interactive.</t>
  </si>
  <si>
    <t>Waktu load wajar, tidak ada bottleneck signifikan.</t>
  </si>
  <si>
    <t>Tidak dieksekusi pada sesi ini - dataset uji berskala kecil; waktu load awal aplikasi pada sesi ini terasa cepat (&lt;2 detik) namun tidak diukur presisi &amp; tidak representatif utk dataset besar.</t>
  </si>
  <si>
    <t>TC-NF-PERF-002</t>
  </si>
  <si>
    <t>Waktu render tabel/list dgn ribuan baris (Petani/Transaksi/Barang), ada pagination/virtualisasi efektif</t>
  </si>
  <si>
    <t>Dataset ribuan baris tersedia.</t>
  </si>
  <si>
    <t xml:space="preserve">1. Isi ribuan baris data.
2. Buka tabel terkait.
3. Ukur waktu render &amp; responsivitas scroll.</t>
  </si>
  <si>
    <t>Render cepat berkat pagination/virtualisasi, tidak me-render semua baris sekaligus.</t>
  </si>
  <si>
    <t>Tidak dieksekusi pada sesi ini - dataset petani (35 baris) &amp; transaksi (1 baris) jauh dari skala ribuan; namun kontrol pagination ('Tampil 10/25/50/100/250/500 per hal.') teramati tersedia pada Master Petani, mengindikasikan mekanisme pagination memang diimplementasikan.</t>
  </si>
  <si>
    <t>TC-NF-SEC-001</t>
  </si>
  <si>
    <t>NF-SEC</t>
  </si>
  <si>
    <t>Password plaintext di storage - dokumentasikan sbg temuan risiko tinggi</t>
  </si>
  <si>
    <t>Lihat USER-008.</t>
  </si>
  <si>
    <t>1. Lihat hasil USER-008.</t>
  </si>
  <si>
    <t>Terdokumentasi sbg temuan risiko, direkomendasikan hashing sebelum go-live.</t>
  </si>
  <si>
    <t>Terkonfirmasi &amp; terdokumentasi - lihat USER-008 &amp; DEF-007 utk detail lengkap.</t>
  </si>
  <si>
    <t>Duplikat referensi dari USER-008, dicantumkan ulang di sini sesuai struktur checklist dokumen §7.4.</t>
  </si>
  <si>
    <t>TC-NF-SEC-002</t>
  </si>
  <si>
    <t>RBAC hanya client-side - dokumentasikan sbg keterbatasan arsitektur, tetap uji agar tidak ada cara mudah (tanpa devtools) utk user awam membajak modul lain</t>
  </si>
  <si>
    <t>Lihat RBAC-002.</t>
  </si>
  <si>
    <t>1. Lihat hasil RBAC-002 (uji bypass via localStorage manipulation).</t>
  </si>
  <si>
    <t>Tidak ada cara mudah TANPA devtools utk user awam membajak modul lain; keterbatasan arsitektur (WITH devtools) didokumentasikan sbg known-limitation bukan bug.</t>
  </si>
  <si>
    <t>Terkonfirmasi via RBAC-002: percobaan bypass sederhana via manipulasi localStorage (memerlukan DevTools/pengetahuan teknis) BERHASIL DICEGAH oleh sistem (redirect otomatis ke Home). Tidak ditemukan cara 'mudah tanpa devtools' (mis. via UI biasa/URL manipulation sederhana) utk user awam membajak modul lain.</t>
  </si>
  <si>
    <t>Keterbatasan arsitektur client-only RBAC tetap berlaku sbg known-limitation sesuai dokumen §12.4 poin 3 - bukan kegagalan uji, namun tetap perlu disampaikan ke Product Owner sbg risiko yg diterima (accepted risk) untuk pengguna teknis.</t>
  </si>
  <si>
    <t>TC-NF-SEC-003</t>
  </si>
  <si>
    <t>Input sanitization (XSS) di semua field teks bebas: nama petani, catatan, alasan tolak, deskripsi audit</t>
  </si>
  <si>
    <t>Berbagai field teks bebas di seluruh modul.</t>
  </si>
  <si>
    <t xml:space="preserve">1. Input payload XSS (mis. &lt;script&gt;alert(1)&lt;/script&gt;) pada berbagai field teks bebas.
2. Verifikasi tidak tereksekusi di manapun field tsb ditampilkan ulang (termasuk di Audit Trail description).</t>
  </si>
  <si>
    <t>Seluruh field teks bebas aman dari XSS, payload di-escape/tidak dieksekusi.</t>
  </si>
  <si>
    <t>HANYA diuji pada 1 dari banyak field teks bebas: field Username pada Login (AUTH-013) - TERBUKTI AMAN (payload tidak tereksekusi). Field lain yg disebutkan eksplisit oleh dokumen (nama petani free-text lengkap dgn karakter script, catatan transaksi, alasan tolak sample, deskripsi audit) TIDAK diuji dgn payload XSS aktif pada sesi ini (nama petani hanya diuji dgn karakter khusus wajar seperti apostrof/ampersand, bukan payload script).</t>
  </si>
  <si>
    <t>Cakupan pengujian XSS TERBATAS pada 1 titik masuk (login); karena React pada umumnya meng-escape output secara default di seluruh aplikasi, risiko relatif rendah, namun cakupan pengujian penuh di semua field bebas SANGAT DIREKOMENDASIKAN sbg prioritas P0 pada siklus berikutnya mengingat ini adalah sistem yg menangani data petani nyata.</t>
  </si>
  <si>
    <t>TC-NF-SEC-004</t>
  </si>
  <si>
    <t>Endpoint eksternal (Firebase/Gemini API) tidak kirim data sensitif tanpa autentikasi/enkripsi layak; cek firebase-applet-config.json &amp; .env.example tidak berisi kunci yg ter-commit ke repo publik</t>
  </si>
  <si>
    <t>Akses ke file konfigurasi proyek.</t>
  </si>
  <si>
    <t xml:space="preserve">1. Inspeksi firebase-applet-config.json &amp; .env.example di root proyek.
2. Cek apakah ada kunci API/secret yg ter-commit.
3. Cek panggilan API eksternal (Firebase/Gemini) di kode - apakah data sensitif dikirim tanpa autentikasi layak.</t>
  </si>
  <si>
    <t>Tidak ada kunci sensitif ter-commit; panggilan API eksternal memakai autentikasi/enkripsi layak.</t>
  </si>
  <si>
    <t>Tidak dieksekusi pada sesi ini - kedua file (firebase-applet-config.json, .env.example) teramati ada di root proyek (terlihat pada listing direktori awal) namun ISINYA tidak diinspeksi/dibuka pada sesi ini krn fokus waktu diarahkan pada pengujian fungsional UI/alur bisnis.</t>
  </si>
  <si>
    <t>PENTING utk ditindaklanjuti scr terpisah oleh tim security/DevOps - membuka &amp; memeriksa isi kedua file ini adalah langkah cepat &amp; berisiko rendah yg sangat direkomendasikan sblm rilis produksi.</t>
  </si>
  <si>
    <t>TC-NF-A11Y-001</t>
  </si>
  <si>
    <t>NF-A11Y</t>
  </si>
  <si>
    <t>Kontras warna badge role &amp; status memenuhi WCAG AA minimal</t>
  </si>
  <si>
    <t>Berbagai badge role/status tersedia di UI.</t>
  </si>
  <si>
    <t>1. Ukur kontras warna badge (superadmin merah, dsb) dgn tools aksesibilitas (axe/Lighthouse).</t>
  </si>
  <si>
    <t>Kontras memenuhi WCAG AA (rasio &gt;= 4.5:1 utk teks normal).</t>
  </si>
  <si>
    <t>Tidak dieksekusi pada sesi ini - tidak menggunakan tools pengukuran kontras (axe/Lighthouse) krn keterbatasan lingkup sesi berbasis interaksi fungsional.</t>
  </si>
  <si>
    <t>TC-NF-A11Y-002</t>
  </si>
  <si>
    <t>Navigasi keyboard dasar utk form modal (Tab order, Esc menutup modal)</t>
  </si>
  <si>
    <t>Modal form tersedia (mis. Tambah Petani).</t>
  </si>
  <si>
    <t xml:space="preserve">1. Buka modal form.
2. Navigasi menggunakan Tab.
3. Tekan Esc, verifikasi modal tertutup.</t>
  </si>
  <si>
    <t>Tab order logis, Esc menutup modal.</t>
  </si>
  <si>
    <t>Tidak dieksekusi pada sesi ini - seluruh interaksi form dilakukan via klik/isi field langsung (mouse-driven automation), navigasi keyboard murni tidak diuji.</t>
  </si>
  <si>
    <t>TC-NF-A11Y-003</t>
  </si>
  <si>
    <t>Alt text/label utk ikon-ikon Lucide yg bersifat aksi (bukan dekoratif)</t>
  </si>
  <si>
    <t>Berbagai ikon aksi di seluruh UI.</t>
  </si>
  <si>
    <t>1. Inspeksi atribut aria-label/alt pada ikon-ikon aksi (bukan dekoratif) via DevTools/screen reader.</t>
  </si>
  <si>
    <t>Ikon aksi memiliki label aksesibel yg sesuai.</t>
  </si>
  <si>
    <t>Judul</t>
  </si>
  <si>
    <t>Severity</t>
  </si>
  <si>
    <t>Modul Terkait</t>
  </si>
  <si>
    <t>Test Case Terkait</t>
  </si>
  <si>
    <t>File/Lokasi Kode</t>
  </si>
  <si>
    <t>Deskripsi</t>
  </si>
  <si>
    <t>Langkah Reproduksi</t>
  </si>
  <si>
    <t>Expected</t>
  </si>
  <si>
    <t>Actual</t>
  </si>
  <si>
    <t>Dampak Bisnis</t>
  </si>
  <si>
    <t>Rekomendasi</t>
  </si>
  <si>
    <t>Bypass autentikasi total pada localStorage kosong - auto-login sebagai Super Admin tanpa kredensial</t>
  </si>
  <si>
    <t>Blocker</t>
  </si>
  <si>
    <t>Autentikasi &amp; Sesi</t>
  </si>
  <si>
    <t>src/utils/storage.ts (fungsi loadCurrentUser, baris 173-180)</t>
  </si>
  <si>
    <t>Ketika localStorage benar-benar kosong (mensimulasikan pengunjung pertama kali / browser baru, bukan hanya 'sesi hilang' seperti diasumsikan dokumen persiapan), aplikasi TIDAK PERNAH menampilkan halaman Login. Sistem langsung melakukan auto-login sebagai user Super Admin aktif pertama dengan akses penuh ke seluruh 19 modul, tanpa meminta kredensial apapun.</t>
  </si>
  <si>
    <t xml:space="preserve">1. Buka aplikasi di browser (kondisi apapun).
2. Buka DevTools Console, jalankan: localStorage.clear()
3. Reload halaman / navigasi ulang ke URL aplikasi.
4. Amati bahwa aplikasi langsung menampilkan Dasbor Menu Utama sebagai Super Admin (Bpk. H. Rahmat Sulistyo), BUKAN halaman Login.</t>
  </si>
  <si>
    <t>Halaman Login harus ditampilkan, mewajibkan input kredensial yang valid sebelum akses diberikan.</t>
  </si>
  <si>
    <t>Akses penuh Super Admin diberikan secara otomatis tanpa kredensial apapun.</t>
  </si>
  <si>
    <t>KRITIKAL. Siapapun yang membuka aplikasi di browser manapun (bahkan tanpa pernah login sebelumnya) otomatis mendapat akses penuh Super Admin - termasuk Kelola User, Audit Trail, dan seluruh data operasional &amp; finansial. Ini jauh lebih parah dari 'auto-heal setelah sesi hilang' yang diasumsikan dokumen §2, karena berlaku juga pada kondisi benar-benar belum pernah ada sesi (first-time visit). Risiko sangat tinggi jika sistem diakses di jaringan publik/perangkat bersama.</t>
  </si>
  <si>
    <t>Hapus/ubah logika fallback pada loadCurrentUser(): auto-heal HANYA boleh berlaku jika sebelumnya memang ada sesi user yang valid tersimpan dan hilang karena error teknis (bukan pada kondisi localStorage benar-benar kosong/first-time). Pada kondisi tidak ada data sesi sama sekali, harus SELALU menampilkan Login View. Wajib diperbaiki sebelum go-live produksi.</t>
  </si>
  <si>
    <t>Open</t>
  </si>
  <si>
    <t>Potongan Ganti Tikar (Rp75.000) tidak ikut dijumlahkan ke Total Potongan &amp; Harga Final - petani berpotensi dibayar lebih besar</t>
  </si>
  <si>
    <t>Critical</t>
  </si>
  <si>
    <t>Kasir (Perhitungan Finansial)</t>
  </si>
  <si>
    <t>TC-KASIR-003, TC-KASIR-004, TC-KASIR-006, TC-KASIR-007, TC-KASIR-011</t>
  </si>
  <si>
    <t>Diduga pada logika agregasi total_potongan di alur Timbangan/Kasir (TimbanganPageView.tsx / PembayaranKasirModal.tsx)</t>
  </si>
  <si>
    <t>Saat sebuah bal ditandai 'Ada Ganti Tikar' pada tahap Timbang, nilai potongan tikar (Rp75.000) DITAMPILKAN dengan benar secara itemisasi pada 'Rincian Potongan Biaya' di Nota Timbang &amp; Kasir (baris terpisah 'Biaya Ganti Tikar'), namun nilai tersebut TIDAK IKUT DIJUMLAHKAN ke 'TOTAL POTONGAN KESELURUHAN' yang sebenarnya dipakai untuk menghitung nominal pembayaran tunai ke petani. Akibatnya harga_final yang dibayarkan ke petani LEBIH BESAR dari seharusnya, sebesar nilai potongan tikar yang hilang.</t>
  </si>
  <si>
    <t xml:space="preserve">1. Login sebagai Admin Sortir, buat transaksi baru dengan minimal 1 bal.
2. Login sebagai Admin Timbang, timbang bal tersebut dan centang 'Ada Ganti Tikar?'.
3. Login sebagai Admin Kasir, buka Nota Timbang &amp; Kasir Pembayaran untuk transaksi tsb.
4. Bandingkan penjumlahan manual baris 'Rincian Potongan Biaya' (Kuli + Tali + Tikar) dengan angka 'TOTAL POTONGAN KESELURUHAN' yang tertera.</t>
  </si>
  <si>
    <t>TOTAL POTONGAN KESELURUHAN = Biaya Kuli + Biaya Tali + Biaya Ganti Tikar (jika berlaku). Pada kasus uji: Rp21.000 + Rp9.000 + Rp75.000 = Rp105.000.</t>
  </si>
  <si>
    <t>TOTAL POTONGAN KESELURUHAN hanya menampilkan Rp30.000 (=Rp21.000+Rp9.000), mengabaikan Rp75.000 Biaya Ganti Tikar yang sudah benar ditampilkan di baris itemisasi tepat di atasnya pada dokumen yang sama. Harga Final yang dibayar ke petani (Rp4.614.000) lebih besar Rp75.000 dari nilai yang seharusnya (Rp4.539.000).</t>
  </si>
  <si>
    <t>Berdampak LANGSUNG pada akurasi kas &amp; laporan keuangan perusahaan - setiap bal dengan Ganti Tikar menyebabkan kelebihan bayar Rp75.000 ke petani, terakumulasi signifikan pada skala operasional harian. Bug ini juga terwariskan ke Nota Timbang resmi (surat bukti timbang) yang dicetak &amp; diserahkan ke petani sebagai dasar hukum pembayaran, sehingga berdampak legal-formal, bukan hanya kosmetik UI.</t>
  </si>
  <si>
    <t>Prioritas TERTINGGI untuk diperbaiki sebelum go-live. Audit ulang seluruh alur agregasi total_potongan pada TimbanganPageView.tsx dan PembayaranKasirModal.tsx untuk memastikan komponen potongan_tikar konsisten disertakan di semua titik kalkulasi (per-bal subtotal_bersih, total transaksi, dan nota cetak). Tambahkan unit test regresi khusus untuk skenario ganti_tikar=true guna mencegah regresi di masa depan.</t>
  </si>
  <si>
    <t>DEF-003</t>
  </si>
  <si>
    <t>Audit Trail tidak menampilkan data existing saat modul pertama dibuka - harus klik 'Segarkan' manual</t>
  </si>
  <si>
    <t>Major</t>
  </si>
  <si>
    <t>Audit Trail</t>
  </si>
  <si>
    <t>Modul Audit Trail (Manajemen Pengguna &gt; Audit Trail &amp; Log Aktivitas)</t>
  </si>
  <si>
    <t>Saat superadmin membuka modul Audit Trail untuk pertama kali dalam suatu sesi, tampilan menunjukkan pesan 'Belum ada aktivitas audit yang tercatat' (0 rekaman) - meskipun sesungguhnya SUDAH ADA rekaman audit tersimpan (terbukti setelah tombol 'Segarkan' diklik, 8 rekaman langsung muncul dengan lengkap &amp; akurat). Data pencatatan itu sendiri BENAR; masalahnya murni pada tidak adanya auto-load/auto-fetch saat komponen pertama kali dirender.</t>
  </si>
  <si>
    <t xml:space="preserve">1. Lakukan beberapa aksi kritikal (mis. buat transaksi, timbang bal, bayar kasir).
2. Login sebagai superadmin, navigasi ke Manajemen Pengguna &gt; tab 'Audit Trail &amp; Log Aktivitas'.
3. Amati kondisi tampilan SEBELUM mengklik tombol apapun.
4. Klik tombol 'Segarkan' dan amati perubahan.</t>
  </si>
  <si>
    <t>Rekaman audit yang sudah ada langsung tampil otomatis saat modul dibuka, tanpa perlu aksi manual tambahan.</t>
  </si>
  <si>
    <t>Tampilan menunjukkan 'Belum ada aktivitas audit yang tercatat' sampai tombol 'Segarkan' diklik manual, baru kemudian 8 rekaman yang sebenarnya sudah ada muncul.</t>
  </si>
  <si>
    <t>Berisiko MENYESATKAN superadmin yang melakukan pengecekan audit cepat (mis. saat investigasi insiden) untuk menyimpulkan secara keliru bahwa 'tidak ada aktivitas mencurigakan tercatat', padahal datanya sebenarnya ada. Ini melemahkan nilai audit trail sebagai alat pengawasan keamanan &amp; akuntabilitas.</t>
  </si>
  <si>
    <t>Pastikan komponen Audit Trail melakukan fetch/load data audit secara otomatis pada saat mount (useEffect tanpa dependency kosong / pemanggilan awal), bukan hanya reaktif terhadap klik tombol 'Segarkan'.</t>
  </si>
  <si>
    <t>Audit log field 'Status Pembayaran' before-value tercatat sebagai string 'undefined', bukan status sebelumnya yang sebenarnya</t>
  </si>
  <si>
    <t>Minor</t>
  </si>
  <si>
    <t>Logika pencatatan rincian_perubahan pada aksi pembayaran Kasir</t>
  </si>
  <si>
    <t>Pada entri audit KOREKSI yang dihasilkan saat transaksi dibayar lunas via Kasir, detail rincian_perubahan untuk field status pembayaran menampilkan 'Status bayar: undefined -&gt; lunas' - nilai 'before' seharusnya adalah status sebelumnya yang valid (mis. 'belum_lunas' atau 'kredit'), bukan literal string/nilai kosong 'undefined'.</t>
  </si>
  <si>
    <t xml:space="preserve">1. Selesaikan transaksi hingga status 'Siap Bayar'.
2. Proses pembayaran via Kasir (Cairkan Cash).
3. Buka Audit Trail sebagai superadmin, cari entri KOREKSI terkait transaksi tsb.
4. Amati baris 'Status bayar' pada rincian perubahan.</t>
  </si>
  <si>
    <t>Status bayar: belum_lunas -&gt; lunas (atau nilai status sebelumnya yang valid dan bermakna).</t>
  </si>
  <si>
    <t>Status bayar: undefined -&gt; lunas</t>
  </si>
  <si>
    <t>Rendah - hanya mengurangi kejelasan/kelengkapan jejak audit untuk satu field spesifik; field numerik lain (Netto, Nilai) pada entri yang sama tercatat lengkap &amp; akurat.</t>
  </si>
  <si>
    <t>Pastikan nilai status_pembayaran lama diambil dari state transaksi SEBELUM mutasi diterapkan, bukan dari referensi objek yang sudah termutasi, saat membangun payload rincian_perubahan.</t>
  </si>
  <si>
    <t>DEF-005</t>
  </si>
  <si>
    <t>Teks deskripsi modul 'Pengiriman Sample' pada Menu Akses Anda bersifat statis/hardcoded, tidak sinkron dengan data real</t>
  </si>
  <si>
    <t>Minor / Cosmetic</t>
  </si>
  <si>
    <t>Home / Menu Akses Anda</t>
  </si>
  <si>
    <t>Deskripsi kartu modul pada Dasbor Menu Utama (kemungkinan Sidebar.tsx / konstanta deskripsi modul)</t>
  </si>
  <si>
    <t>Saat login sebagai admin_pengiriman pada kondisi data belum ada satupun batch sample (counter modul menunjukkan '0'), teks keterangan pada kartu modul 'Pengiriman Sample' di 'Menu Akses Anda' tetap menampilkan narasi kondisi tertentu (mis. '3 Sedang Pengiriman, 1 Sedang Berangkat, 4 Selesai') yang tidak sesuai dengan data aktual (0 batch).</t>
  </si>
  <si>
    <t xml:space="preserve">1. Login sebagai admin_pengiriman pada kondisi data sample kosong (badge counter '0' pada menu 'Pengiriman Sample').
2. Amati kolom 'Keterangan &amp; Cakupan Fungsi' pada baris modul Pengiriman Sample di tabel 'Menu Akses Anda'.</t>
  </si>
  <si>
    <t>Deskripsi mencerminkan kondisi data real-time, atau berupa deskripsi generik netral yang tidak menyebutkan angka spesifik jika tidak dihitung secara dinamis.</t>
  </si>
  <si>
    <t>Deskripsi menampilkan narasi angka spesifik yang tidak cocok dengan counter badge modul yang sesungguhnya (0).</t>
  </si>
  <si>
    <t>Rendah - berpotensi membingungkan pengguna sekilas mengenai kondisi data terkini, namun tidak berdampak fungsional (badge counter di sebelah nama modul tetap akurat).</t>
  </si>
  <si>
    <t>Hitung teks keterangan modul secara dinamis dari data aktual, atau ganti dengan deskripsi generik yang tidak bergantung pada angka statistik real-time.</t>
  </si>
  <si>
    <t>DEF-006</t>
  </si>
  <si>
    <t>Kode mati (dead code) TransaksiFormModal.tsx memiliki formula potongan yang tidak sesuai dokumentasi</t>
  </si>
  <si>
    <t>Minor / Code Hygiene</t>
  </si>
  <si>
    <t>Transaksi (kode tidak terpakai)</t>
  </si>
  <si>
    <t>-</t>
  </si>
  <si>
    <t>src/components/transaksi/TransaksiFormModal.tsx &amp; TransaksiManagement.tsx</t>
  </si>
  <si>
    <t>Ditemukan jalur pembuatan transaksi alternatif (TransaksiFormModal via TransaksiManagement) yang TIDAK diroutekan di manapun pada App.tsx (modul-0-transaksi secara aktual dirender oleh KasirPageView, bukan TransaksiManagement) - sehingga kode ini tidak dapat dijangkau pengguna manapun (dead code). Kode ini memiliki formula potongan yang BERBEDA dari spesifikasi dokumen: potongan_kuli=7000/bal (benar), namun TIDAK ADA potongan_tali sama sekali, dan potongan_tikar dihitung flat Rp2.000/bal (bukan Rp75.000 kondisional sesuai ganti_tikar seperti pada jalur aktif Proses2TimbangModal.tsx).</t>
  </si>
  <si>
    <t xml:space="preserve">1. Review kode src/components/transaksi/TransaksiFormModal.tsx baris 325-326.
2. Bandingkan dengan formula resmi §12.1 dokumen dan implementasi aktif di Proses2TimbangModal.tsx.
3. Konfirmasi via App.tsx bahwa modul-0-transaksi dirender oleh KasirPageView (bukan TransaksiManagement), sehingga kode ini tidak live.</t>
  </si>
  <si>
    <t>Tidak ada kode tidak terpakai dengan formula bisnis yang menyimpang dari dokumentasi resmi tersisa di codebase.</t>
  </si>
  <si>
    <t>Kode dead/unreachable ini tetap ada di codebase dengan formula yang salah, berisiko diaktifkan kembali secara tidak sengaja di masa depan (mis. saat refactor routing) tanpa disadari perbedaan formulanya.</t>
  </si>
  <si>
    <t>Tidak ada dampak langsung ke pengguna saat ini (kode tidak dapat dijangkau via UI manapun). Risiko LATEN jika kode ini di-reroute/diaktifkan kembali tanpa audit ulang formula.</t>
  </si>
  <si>
    <t>Hapus kode tidak terpakai ini (TransaksiFormModal.tsx, TransaksiManagement.tsx) jika memang tidak lagi diperlukan, atau jika berencana diaktifkan kembali, perbarui dahulu formulanya agar konsisten dengan Proses2TimbangModal.tsx dan dokumen §12.1.</t>
  </si>
  <si>
    <t>Password user disimpan plaintext (bukan hash) - risiko keamanan yang sudah diketahui sesuai dokumen</t>
  </si>
  <si>
    <t>Critical (Accepted Risk / Known Issue per dokumen)</t>
  </si>
  <si>
    <t>Manajemen User / Arsitektur Sistem</t>
  </si>
  <si>
    <t>TC-USER-008, TC-NF-SEC-001</t>
  </si>
  <si>
    <t>src/utils/storage.ts, src/data/initialUserData.ts (field 'password' pada tipe User)</t>
  </si>
  <si>
    <t>Password seluruh user (termasuk superadmin) disimpan sebagai teks biasa (plaintext) pada objek User di localStorage, tanpa hashing/enkripsi. Ini bukan temuan baru - dokumen persiapan pengujian (§2, §9.6, §12.4) sudah secara eksplisit mengidentifikasi ini sebagai risiko yang diketahui dan meminta agar dicatat sebagai temuan, bukan diverifikasi sebagai fitur normal.</t>
  </si>
  <si>
    <t xml:space="preserve">1. Review kode src/utils/storage.ts dan src/data/initialUserData.ts.
2. Amati struktur objek User yang menyertakan field 'password' berisi nilai plaintext (mis. 'admin123').</t>
  </si>
  <si>
    <t>Password idealnya di-hash (mis. bcrypt/argon2) sebelum disimpan, bahkan pada arsitektur client-only.</t>
  </si>
  <si>
    <t>Password tersimpan sebagai plaintext di localStorage.</t>
  </si>
  <si>
    <t>Jika perangkat/browser/localStorage bocor (mis. melalui ekstensi browser berbahaya, akses fisik ke perangkat, atau backup file yang tidak diamankan), seluruh kredensial staf &amp; superadmin dapat langsung terbaca tanpa perlu cracking.</t>
  </si>
  <si>
    <t>Sesuai rekomendasi dokumen §12.4: terapkan hashing password sebelum sistem dipakai di lingkungan produksi nyata, idealnya seiring migrasi ke backend server yang mendukung hashing &amp; salting yang layak.</t>
  </si>
  <si>
    <t>Accepted Risk (per instruksi dokumen - dikomunikasikan ke Product Owner)</t>
  </si>
  <si>
    <t>DEF-008</t>
  </si>
  <si>
    <t>Tombol 'Akses Cepat Pengujian Role (1-Klik)' dan info 'Default pass' tampil langsung di halaman Login produksi</t>
  </si>
  <si>
    <t>Informational</t>
  </si>
  <si>
    <t>Komponen LoginView</t>
  </si>
  <si>
    <t>Halaman Login menampilkan panel 'AKSES CEPAT PENGUJIAN ROLE (1-KLIK)' berisi 6 tombol yang langsung login sebagai role tertentu tanpa perlu mengetik password, serta teks 'Default pass: admin123' di sebelah checkbox 'Ingat Sesi'. Fitur ini sangat membantu untuk mempercepat pengujian QA (dan memang dimanfaatkan secara ekstensif pada sesi pengujian ini), namun merupakan risiko keamanan serius apabila terbawa ke lingkungan produksi tanpa dinonaktifkan.</t>
  </si>
  <si>
    <t xml:space="preserve">1. Buka halaman Login (logout terlebih dahulu jika perlu).
2. Amati panel 'AKSES CEPAT PENGUJIAN ROLE (1-KLIK)' dan teks 'Default pass: admin123' yang tampil langsung tanpa perlu login.</t>
  </si>
  <si>
    <t>Fitur kemudahan uji semacam ini idealnya hanya aktif pada environment development/staging (mis. dikontrol oleh flag build/env), tidak muncul pada build produksi.</t>
  </si>
  <si>
    <t>Fitur tampil aktif pada build yang diuji (Build: 2026-08-REV3, 'Desktop Standalone v2.4').</t>
  </si>
  <si>
    <t>Jika terbawa ke produksi, siapapun yang mengakses halaman login dapat login sebagai role manapun (termasuk Super Admin) hanya dengan 1 klik, tanpa mengetahui password sama sekali - menghilangkan seluruh nilai autentikasi.</t>
  </si>
  <si>
    <t>Bungkus fitur ini dengan flag environment (mis. import.meta.env.DEV) agar otomatis tidak dirender pada build produksi. Pastikan proses build/release memverifikasi fitur ini tidak aktif sebelum go-live.</t>
  </si>
  <si>
    <t>RINGKASAN EKSEKUSI PENGUJIAN PER MODUL</t>
  </si>
  <si>
    <t>Kode Modul</t>
  </si>
  <si>
    <t>Nama Modul</t>
  </si>
  <si>
    <t>Total TC</t>
  </si>
  <si>
    <t>Manajemen Petani</t>
  </si>
  <si>
    <t>Master Harga Beli</t>
  </si>
  <si>
    <t>Master Harga Jual</t>
  </si>
  <si>
    <t>Master Barang</t>
  </si>
  <si>
    <t>Proses 1 - Sortir</t>
  </si>
  <si>
    <t>Proses 2 - Timbang</t>
  </si>
  <si>
    <t>Proses 3 - Kasir</t>
  </si>
  <si>
    <t>Sample &amp; Evaluasi Buyer</t>
  </si>
  <si>
    <t>Pengiriman / DO</t>
  </si>
  <si>
    <t>Status Batch Pengiriman</t>
  </si>
  <si>
    <t>Dashboard &amp; Laporan</t>
  </si>
  <si>
    <t>Manajemen User</t>
  </si>
  <si>
    <t>Cetak &amp; Ekspor</t>
  </si>
  <si>
    <t>NF - Integritas Data</t>
  </si>
  <si>
    <t>NF - Kompatibilitas</t>
  </si>
  <si>
    <t>NF - Performa</t>
  </si>
  <si>
    <t>NF - Keamanan</t>
  </si>
  <si>
    <t>NF - Aksesibilitas</t>
  </si>
  <si>
    <t>TOTAL</t>
  </si>
  <si>
    <t>Seluruh Modul</t>
  </si>
  <si>
    <t>STATUS KHUSUS PRIORITAS P0 (Blocker/Kritikal - wajib 100% Pass sebelum rilis, per Kriteria Keluar §9.2)</t>
  </si>
  <si>
    <t>Kategori</t>
  </si>
  <si>
    <t>Jumlah</t>
  </si>
  <si>
    <t>Total Test Case P0</t>
  </si>
  <si>
    <t>P0 - Pass</t>
  </si>
  <si>
    <t>P0 - Fail</t>
  </si>
  <si>
    <t>P0 - Blocked</t>
  </si>
  <si>
    <t>P0 - Not Executed</t>
  </si>
  <si>
    <t>RINGKASAN DEFECT (lihat sheet Defect Log utk detail lengkap)</t>
  </si>
  <si>
    <t>KRITERIA MASUK (ENTRY CRITERIA) - dokumen §9.1</t>
  </si>
  <si>
    <t>npm run build (produksi) berhasil tanpa error</t>
  </si>
  <si>
    <t>TERPENUHI - build sukses, output dist/ ter-generate (peringatan ukuran chunk &gt;500kB bersifat non-blocking, bukan error)</t>
  </si>
  <si>
    <t>npm run lint (tsc --noEmit) lulus tanpa error TypeScript</t>
  </si>
  <si>
    <t>TERPENUHI - 0 error TypeScript</t>
  </si>
  <si>
    <t>Environment uji tersedia dgn data demo ter-reset</t>
  </si>
  <si>
    <t>TERPENUHI - dev server berjalan dgn data demo awal (34 petani, 41 kode grade, dst)</t>
  </si>
  <si>
    <t>Dokumen &amp; skenario turunan direview QA Lead/Product Owner</t>
  </si>
  <si>
    <t>BELUM - dokumen test case ini adalah HASIL dari proses tsb, menunggu review &amp; sign-off Product Owner (lihat sheet Sign-off)</t>
  </si>
  <si>
    <t>#</t>
  </si>
  <si>
    <t>Tahapan Critical User Journey (§5 Dokumen)</t>
  </si>
  <si>
    <t>Role Bertanggung Jawab</t>
  </si>
  <si>
    <t>Status Cakupan Sesi Ini</t>
  </si>
  <si>
    <t>1</t>
  </si>
  <si>
    <t>Petani datang &amp; didaftarkan/dikenali via ID/barcode</t>
  </si>
  <si>
    <t>TC-PETANI-001, TC-PETANI-002</t>
  </si>
  <si>
    <t>DIUJI - petani baru berhasil dibuat dgn ID auto-generate &amp; validasi field wajib</t>
  </si>
  <si>
    <t>2</t>
  </si>
  <si>
    <t>Kupon antrian dibuat &amp; dipanggil</t>
  </si>
  <si>
    <t>Admin Sortir/Kasir</t>
  </si>
  <si>
    <t>DIUJI - kupon KUP0001 dibuat otomatis saat transaksi Sortir dimulai</t>
  </si>
  <si>
    <t>3</t>
  </si>
  <si>
    <t>PROSES 1 - SORTIR: penentuan grade mutu per bal</t>
  </si>
  <si>
    <t>TC-SORTIR-001 s/d 005</t>
  </si>
  <si>
    <t>DIUJI PENUH - 3 bal multi-grade berhasil disortir &amp; lanjut ke Timbang</t>
  </si>
  <si>
    <t>4</t>
  </si>
  <si>
    <t>PROSES 2 - TIMBANG: input bruto, hitung tara, netto otomatis</t>
  </si>
  <si>
    <t>TC-TIMBANG-001 s/d 009</t>
  </si>
  <si>
    <t>DIUJI PENUH termasuk boundary 49/50 &amp; 59/60kg dan aturan khusus prefix SB</t>
  </si>
  <si>
    <t>5</t>
  </si>
  <si>
    <t>KASIR: validasi transaksi, hitung potongan, harga final, bayar, cetak nota</t>
  </si>
  <si>
    <t>TC-KASIR-001 s/d 013</t>
  </si>
  <si>
    <t>DIUJI PENUH - DITEMUKAN DEFECT KRITIKAL DEF-002 (potongan tikar tidak teragregasi)</t>
  </si>
  <si>
    <t>6</t>
  </si>
  <si>
    <t>Barang berstatus "di_gudang" tercatat sebagai stok</t>
  </si>
  <si>
    <t>Sistem/Auto</t>
  </si>
  <si>
    <t>DIUJI - 3 bal terverifikasi status "Di Gudang" di Inventaris Bal Gudang</t>
  </si>
  <si>
    <t>7a</t>
  </si>
  <si>
    <t>(Opsional) Kirim SAMPLE ke buyer utk evaluasi</t>
  </si>
  <si>
    <t>TC-SAMPLE-001 s/d 009</t>
  </si>
  <si>
    <t>TIDAK DIUJI - di luar cakupan waktu sesi ini, modul dikunjungi namun tanpa data</t>
  </si>
  <si>
    <t>7b</t>
  </si>
  <si>
    <t>Update Master Harga Jual berdasarkan hasil deal</t>
  </si>
  <si>
    <t>TC-HARGA-JUAL-001 s/d 003</t>
  </si>
  <si>
    <t>SEBAGIAN - penggunaan (read) master harga jual terverifikasi via KIRIM-005; CRUD tidak diuji</t>
  </si>
  <si>
    <t>8</t>
  </si>
  <si>
    <t>PENGIRIMAN: konsolidasi bal, assign sopir/kendaraan, cetak Surat Jalan</t>
  </si>
  <si>
    <t>TC-KIRIM-001 s/d 007</t>
  </si>
  <si>
    <t>DIUJI PENUH - DO berhasil dibuat, tervalidasi, dicetak dgn data akurat</t>
  </si>
  <si>
    <t>9</t>
  </si>
  <si>
    <t>Update status pengiriman s.d. "selesai"/"diterima"</t>
  </si>
  <si>
    <t>SEBAGIAN - status akhir "Terkirim DO" tercapai &amp; memicu perubahan status_stok bal; transisi bertahap tidak teramati</t>
  </si>
  <si>
    <t>10</t>
  </si>
  <si>
    <t>Verifikasi profit di Dashboard Analitik &amp; Laporan Pengiriman</t>
  </si>
  <si>
    <t>Kepala Gudang/Superadmin</t>
  </si>
  <si>
    <t>TC-KIRIM-010, TC-DASH-001, TC-DASH-008</t>
  </si>
  <si>
    <t>DIUJI PENUH &amp; AKURAT - Keuntungan Bersih Rp2.241.000 (32,5% margin) matematis tepat</t>
  </si>
  <si>
    <t>11</t>
  </si>
  <si>
    <t>Verifikasi jejak audit (Audit Trail) mencatat setiap aksi penting</t>
  </si>
  <si>
    <t>TC-AUDIT-001 s/d 006</t>
  </si>
  <si>
    <t>DIUJI - data tercatat lengkap &amp; akurat, NAMUN DITEMUKAN DEFECT MAYOR DEF-003 (tidak auto-load)</t>
  </si>
  <si>
    <t>CATATAN SIGN-OFF &amp; REKOMENDASI RILIS</t>
  </si>
  <si>
    <t>Status Exit Criteria (§9.2 Dokumen)</t>
  </si>
  <si>
    <t>- 100% skenario P0 lulus (tidak boleh ada blocker terbuka): BELUM TERPENUHI - lihat sheet Ringkasan Eksekusi blok "Status Khusus Prioritas P0". Dari test case P0 yang BERHASIL dieksekusi, ditemukan 2 kegagalan langsung pada modul finansial/keamanan paling kritikal (DEF-001, DEF-002), dan mayoritas item P0 lain berstatus Not Executed karena keterbatasan waktu satu sesi pengujian.</t>
  </si>
  <si>
    <t>- &gt;=95% skenario P1 lulus: BELUM DAPAT DIUKUR - proporsi P1 yang dieksekusi pada sesi ini masih terbatas; sebagian besar P1 tercatat Not Executed.</t>
  </si>
  <si>
    <t>- Tidak ada defect Critical/Blocker terbuka pada modul Kasir, Sortir-Timbang, Pengiriman, RBAC: TIDAK TERPENUHI - DEF-001 (Blocker, Autentikasi) dan DEF-002 (Critical, Kasir) MASIH TERBUKA.</t>
  </si>
  <si>
    <t>- Temuan keamanan (§7.4) sudah dikomunikasikan tertulis ke Product Owner: SEDANG DALAM PROSES - dokumen ini ADALAH bentuk komunikasi tertulis tsb; DEF-001, DEF-007, DEF-008 memerlukan keputusan eksplisit Product Owner.</t>
  </si>
  <si>
    <t>- TIDAK DIREKOMENDASIKAN untuk rilis ke lingkungan produksi pada kondisi saat ini, hingga minimal DEF-001 (Blocker - celah otentikasi) dan DEF-002 (Critical - kesalahan finansial pembayaran petani) diperbaiki &amp; diverifikasi ulang.</t>
  </si>
  <si>
    <t>- Modul kalkulasi profit pengiriman (financialCalculations.ts) TERBUKTI SANGAT ANDAL dan dapat dipercaya sebagai fondasi laporan keuangan eksekutif - tidak ditemukan cacat pada mesin kalkulasi ini.</t>
  </si>
  <si>
    <t>- Sangat direkomendasikan sesi pengujian lanjutan (regresi) dgn cakupan waktu lebih panjang utk menuntaskan 88 test case berstatus "Not Executed" pada dokumen ini, khususnya seluruh modul Sample (belum tersentuh sama sekali), CRUD Manajemen User, dan pengujian keamanan XSS menyeluruh di seluruh field teks bebas.</t>
  </si>
  <si>
    <t>- Sebelum go-live: (a) nonaktifkan fitur "Akses Cepat Pengujian Role" &amp; tampilan default password pada build produksi (DEF-008); (b) terapkan hashing password (DEF-007); (c) jalankan pengujian localStorage-quota-exceeded &amp; performa dataset besar yg belum sempat dieksekusi sesi ini.</t>
  </si>
  <si>
    <t>Tanda Tangan Persetujuan</t>
  </si>
  <si>
    <t>Peran</t>
  </si>
  <si>
    <t>Nama</t>
  </si>
  <si>
    <t>Tanda Tangan</t>
  </si>
  <si>
    <t>Tanggal</t>
  </si>
  <si>
    <t>QA Lead / Penyusun Laporan</t>
  </si>
  <si>
    <t>Product Owner</t>
  </si>
  <si>
    <t>Engineering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</si>
</sst>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color theme="1"/>
      <family val="2"/>
      <scheme val="minor"/>
      <sz val="11"/>
      <name val="Calibri"/>
    </font>
    <font>
      <b/>
      <color rgb="FFC00000"/>
      <sz val="20"/>
      <name val="Calibri"/>
    </font>
    <font>
      <b/>
      <color rgb="FF404040"/>
      <sz val="13"/>
      <name val="Calibri"/>
    </font>
    <font>
      <i/>
      <color rgb="FF7F7F7F"/>
      <sz val="11"/>
      <name val="Calibri"/>
    </font>
    <font>
      <b/>
      <sz val="10"/>
      <name val="Calibri"/>
    </font>
    <font>
      <sz val="10"/>
      <name val="Calibri"/>
    </font>
    <font>
      <b/>
      <color rgb="FFC00000"/>
      <sz val="12"/>
      <name val="Calibri"/>
    </font>
    <font>
      <b/>
      <color rgb="FF1F4E78"/>
      <sz val="10"/>
      <name val="Calibri"/>
    </font>
    <font>
      <b/>
      <color rgb="FFFFFFFF"/>
      <sz val="10"/>
      <name val="Calibri"/>
    </font>
    <font>
      <b/>
      <sz val="9"/>
      <name val="Calibri"/>
    </font>
    <font>
      <sz val="9"/>
      <name val="Calibri"/>
    </font>
    <font>
      <b/>
      <color rgb="FF006100"/>
      <sz val="9"/>
      <name val="Calibri"/>
    </font>
    <font>
      <b/>
      <color rgb="FF9C0006"/>
      <sz val="9"/>
      <name val="Calibri"/>
    </font>
    <font>
      <b/>
      <color rgb="FF7F7F7F"/>
      <sz val="9"/>
      <name val="Calibri"/>
    </font>
    <font>
      <b/>
      <color rgb="FF9C6500"/>
      <sz val="9"/>
      <name val="Calibri"/>
    </font>
    <font>
      <b/>
      <color rgb="FFC00000"/>
      <sz val="9"/>
      <name val="Calibri"/>
    </font>
    <font>
      <b/>
      <color rgb="FF1F4E78"/>
      <sz val="9"/>
      <name val="Calibri"/>
    </font>
    <font>
      <b/>
      <color rgb="FF9C5700"/>
      <sz val="9"/>
      <name val="Calibri"/>
    </font>
    <font>
      <b/>
      <color rgb="FFFFFFFF"/>
      <sz val="9"/>
      <name val="Calibri"/>
    </font>
    <font>
      <b/>
      <color rgb="FFC00000"/>
      <sz val="14"/>
      <name val="Calibri"/>
    </font>
    <font>
      <b/>
      <color rgb="FFC00000"/>
      <sz val="11"/>
      <name val="Calibri"/>
    </font>
    <font>
      <i/>
      <sz val="10"/>
      <name val="Calibri"/>
    </font>
    <font>
      <sz val="9.5"/>
      <name val="Calibri"/>
    </font>
    <font>
      <b/>
      <color rgb="FF1F4E78"/>
      <sz val="12"/>
      <name val="Calibri"/>
    </font>
  </fonts>
  <fills count="15">
    <fill>
      <patternFill patternType="none"/>
    </fill>
    <fill>
      <patternFill patternType="gray125"/>
    </fill>
    <fill>
      <patternFill patternType="solid">
        <fgColor rgb="FFC00000"/>
      </patternFill>
    </fill>
    <fill>
      <patternFill patternType="solid">
        <fgColor rgb="FFC6EFCE"/>
      </patternFill>
    </fill>
    <fill>
      <patternFill patternType="solid">
        <fgColor rgb="FFFFC7CE"/>
      </patternFill>
    </fill>
    <fill>
      <patternFill patternType="solid">
        <fgColor rgb="FFF2F2F2"/>
      </patternFill>
    </fill>
    <fill>
      <patternFill patternType="solid">
        <fgColor rgb="FFFFEB9C"/>
      </patternFill>
    </fill>
    <fill>
      <patternFill patternType="solid">
        <fgColor rgb="FFDDEBF7"/>
      </patternFill>
    </fill>
    <fill>
      <patternFill patternType="solid">
        <fgColor rgb="FFFFE699"/>
      </patternFill>
    </fill>
    <fill>
      <patternFill patternType="solid">
        <fgColor rgb="FFFF0000"/>
      </patternFill>
    </fill>
    <fill>
      <patternFill patternType="solid">
        <fgColor rgb="FFED7D31"/>
      </patternFill>
    </fill>
    <fill>
      <patternFill patternType="solid">
        <fgColor rgb="FFFFC000"/>
      </patternFill>
    </fill>
    <fill>
      <patternFill patternType="solid">
        <fgColor rgb="FFFFD966"/>
      </patternFill>
    </fill>
    <fill>
      <patternFill patternType="solid">
        <fgColor rgb="FFBFBFBF"/>
      </patternFill>
    </fill>
    <fill>
      <patternFill patternType="solid">
        <fgColor rgb="FFFF66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0" borderId="0" xfId="0" applyFont="1"/>
    <xf numFmtId="0" fontId="5" fillId="0" borderId="0" xfId="0" applyFont="1" applyAlignment="1">
      <alignment wrapText="1"/>
    </xf>
    <xf numFmtId="0" fontId="7" fillId="0" borderId="0" xfId="0" applyFont="1"/>
    <xf numFmtId="0" fontId="5" fillId="0" borderId="0" xfId="0" applyFont="1"/>
    <xf numFmtId="0" fontId="8" fillId="2" borderId="1" xfId="0" applyFont="1" applyFill="1" applyBorder="1" applyAlignment="1">
      <alignment horizontal="center" vertical="center"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3" borderId="1" xfId="0" applyFont="1" applyFill="1" applyBorder="1" applyAlignment="1">
      <alignment horizontal="center" vertical="top" wrapText="1"/>
    </xf>
    <xf numFmtId="0" fontId="12" fillId="4" borderId="1" xfId="0" applyFont="1" applyFill="1" applyBorder="1" applyAlignment="1">
      <alignment horizontal="center" vertical="top"/>
    </xf>
    <xf numFmtId="0" fontId="13" fillId="5" borderId="1" xfId="0" applyFont="1" applyFill="1" applyBorder="1" applyAlignment="1">
      <alignment horizontal="center" vertical="top" wrapText="1"/>
    </xf>
    <xf numFmtId="0" fontId="14" fillId="6" borderId="1" xfId="0" applyFont="1" applyFill="1" applyBorder="1" applyAlignment="1">
      <alignment horizontal="center" vertical="top"/>
    </xf>
    <xf numFmtId="0" fontId="12" fillId="4" borderId="1" xfId="0" applyFont="1" applyFill="1" applyBorder="1" applyAlignment="1">
      <alignment horizontal="center" vertical="top" wrapText="1"/>
    </xf>
    <xf numFmtId="0" fontId="15" fillId="0" borderId="1" xfId="0" applyFont="1" applyBorder="1" applyAlignment="1">
      <alignment vertical="top" wrapText="1"/>
    </xf>
    <xf numFmtId="0" fontId="16" fillId="7" borderId="1" xfId="0" applyFont="1" applyFill="1" applyBorder="1" applyAlignment="1">
      <alignment horizontal="center" vertical="top"/>
    </xf>
    <xf numFmtId="0" fontId="17" fillId="8"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8" fillId="9" borderId="1" xfId="0" applyFont="1" applyFill="1" applyBorder="1" applyAlignment="1">
      <alignment horizontal="center" vertical="top" wrapText="1"/>
    </xf>
    <xf numFmtId="0" fontId="18" fillId="10" borderId="1" xfId="0" applyFont="1" applyFill="1" applyBorder="1" applyAlignment="1">
      <alignment horizontal="center" vertical="top" wrapText="1"/>
    </xf>
    <xf numFmtId="0" fontId="18" fillId="11" borderId="1" xfId="0" applyFont="1" applyFill="1" applyBorder="1" applyAlignment="1">
      <alignment horizontal="center" vertical="top" wrapText="1"/>
    </xf>
    <xf numFmtId="0" fontId="18" fillId="12" borderId="1" xfId="0" applyFont="1" applyFill="1" applyBorder="1" applyAlignment="1">
      <alignment horizontal="center" vertical="top" wrapText="1"/>
    </xf>
    <xf numFmtId="0" fontId="18" fillId="13" borderId="1" xfId="0" applyFont="1" applyFill="1" applyBorder="1" applyAlignment="1">
      <alignment horizontal="center" vertical="top" wrapText="1"/>
    </xf>
    <xf numFmtId="0" fontId="18" fillId="14" borderId="1" xfId="0" applyFont="1" applyFill="1" applyBorder="1" applyAlignment="1">
      <alignment horizontal="center" vertical="top" wrapText="1"/>
    </xf>
    <xf numFmtId="0" fontId="19" fillId="0" borderId="0" xfId="0" applyFont="1"/>
    <xf numFmtId="0" fontId="5" fillId="0" borderId="1" xfId="0" applyFont="1" applyBorder="1" applyAlignment="1">
      <alignment horizontal="center" vertical="center"/>
    </xf>
    <xf numFmtId="0" fontId="5" fillId="0" borderId="1" xfId="0" applyFont="1" applyBorder="1" applyAlignment="1">
      <alignment horizontal="left" vertical="center"/>
    </xf>
    <xf numFmtId="0" fontId="4" fillId="5" borderId="1" xfId="0" applyFont="1" applyFill="1" applyBorder="1" applyAlignment="1">
      <alignment horizontal="center" vertical="center"/>
    </xf>
    <xf numFmtId="0" fontId="20" fillId="0" borderId="0" xfId="0" applyFont="1"/>
    <xf numFmtId="0" fontId="8" fillId="2" borderId="1" xfId="0" applyFont="1" applyFill="1" applyBorder="1" applyAlignment="1">
      <alignment horizontal="center"/>
    </xf>
    <xf numFmtId="0" fontId="5" fillId="0" borderId="1" xfId="0" applyFont="1" applyBorder="1"/>
    <xf numFmtId="0" fontId="4" fillId="0" borderId="1" xfId="0" applyFont="1" applyBorder="1" applyAlignment="1">
      <alignment horizontal="center"/>
    </xf>
    <xf numFmtId="0" fontId="21" fillId="0" borderId="0" xfId="0" applyFont="1" applyAlignment="1">
      <alignment wrapText="1"/>
    </xf>
    <xf numFmtId="0" fontId="22" fillId="0" borderId="1" xfId="0" applyFont="1" applyBorder="1" applyAlignment="1">
      <alignment horizontal="center" vertical="top"/>
    </xf>
    <xf numFmtId="0" fontId="22" fillId="0" borderId="1" xfId="0" applyFont="1" applyBorder="1" applyAlignment="1">
      <alignment vertical="top" wrapText="1"/>
    </xf>
    <xf numFmtId="0" fontId="22" fillId="8" borderId="1" xfId="0" applyFont="1" applyFill="1" applyBorder="1" applyAlignment="1">
      <alignment vertical="top" wrapText="1"/>
    </xf>
    <xf numFmtId="0" fontId="22" fillId="3" borderId="1" xfId="0" applyFont="1" applyFill="1" applyBorder="1" applyAlignment="1">
      <alignment vertical="top" wrapText="1"/>
    </xf>
    <xf numFmtId="0" fontId="22" fillId="5" borderId="1" xfId="0" applyFont="1" applyFill="1" applyBorder="1" applyAlignment="1">
      <alignment vertical="top" wrapText="1"/>
    </xf>
    <xf numFmtId="0" fontId="2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F28"/>
  <sheetFormatPr defaultRowHeight="15" outlineLevelRow="0" outlineLevelCol="0" x14ac:dyDescent="55"/>
  <cols>
    <col min="1" max="1" width="4" customWidth="1"/>
    <col min="2" max="2" width="34" customWidth="1"/>
    <col min="3" max="3" width="70" customWidth="1"/>
  </cols>
  <sheetData>
    <row r="2" spans="2:6" x14ac:dyDescent="0.25">
      <c r="B2" s="1" t="s">
        <v>0</v>
      </c>
      <c r="C2" s="1"/>
      <c r="D2" s="1"/>
      <c r="E2" s="1"/>
      <c r="F2" s="1"/>
    </row>
    <row r="3" spans="2:6" x14ac:dyDescent="0.25">
      <c r="B3" s="2" t="s">
        <v>1</v>
      </c>
      <c r="C3" s="2"/>
      <c r="D3" s="2"/>
      <c r="E3" s="2"/>
      <c r="F3" s="2"/>
    </row>
    <row r="4" spans="2:6" x14ac:dyDescent="0.25">
      <c r="B4" s="3" t="s">
        <v>2</v>
      </c>
      <c r="C4" s="3"/>
      <c r="D4" s="3"/>
      <c r="E4" s="3"/>
      <c r="F4" s="3"/>
    </row>
    <row r="6" spans="2:6" x14ac:dyDescent="0.25">
      <c r="B6" s="4" t="s">
        <v>3</v>
      </c>
      <c r="C6" s="5" t="s">
        <v>4</v>
      </c>
      <c r="D6" s="5"/>
      <c r="E6" s="5"/>
      <c r="F6" s="5"/>
    </row>
    <row r="7" spans="2:6" x14ac:dyDescent="0.25">
      <c r="B7" s="4" t="s">
        <v>5</v>
      </c>
      <c r="C7" s="5" t="s">
        <v>6</v>
      </c>
      <c r="D7" s="5"/>
      <c r="E7" s="5"/>
      <c r="F7" s="5"/>
    </row>
    <row r="8" spans="2:6" x14ac:dyDescent="0.25">
      <c r="B8" s="4" t="s">
        <v>7</v>
      </c>
      <c r="C8" s="5" t="s">
        <v>8</v>
      </c>
      <c r="D8" s="5"/>
      <c r="E8" s="5"/>
      <c r="F8" s="5"/>
    </row>
    <row r="9" spans="2:6" x14ac:dyDescent="0.25">
      <c r="B9" s="4" t="s">
        <v>9</v>
      </c>
      <c r="C9" s="5" t="s">
        <v>10</v>
      </c>
      <c r="D9" s="5"/>
      <c r="E9" s="5"/>
      <c r="F9" s="5"/>
    </row>
    <row r="10" spans="2:6" x14ac:dyDescent="0.25">
      <c r="B10" s="4" t="s">
        <v>11</v>
      </c>
      <c r="C10" s="5" t="s">
        <v>12</v>
      </c>
      <c r="D10" s="5"/>
      <c r="E10" s="5"/>
      <c r="F10" s="5"/>
    </row>
    <row r="11" spans="2:6" x14ac:dyDescent="0.25">
      <c r="B11" s="4" t="s">
        <v>13</v>
      </c>
      <c r="C11" s="5" t="s">
        <v>14</v>
      </c>
      <c r="D11" s="5"/>
      <c r="E11" s="5"/>
      <c r="F11" s="5"/>
    </row>
    <row r="12" spans="2:6" x14ac:dyDescent="0.25">
      <c r="B12" s="4" t="s">
        <v>15</v>
      </c>
      <c r="C12" s="5" t="s">
        <v>16</v>
      </c>
      <c r="D12" s="5"/>
      <c r="E12" s="5"/>
      <c r="F12" s="5"/>
    </row>
    <row r="13" spans="2:6" x14ac:dyDescent="0.25">
      <c r="B13" s="4" t="s">
        <v>17</v>
      </c>
      <c r="C13" s="5" t="s">
        <v>18</v>
      </c>
      <c r="D13" s="5"/>
      <c r="E13" s="5"/>
      <c r="F13" s="5"/>
    </row>
    <row r="15" spans="2:6" x14ac:dyDescent="0.25">
      <c r="B15" s="6" t="s">
        <v>19</v>
      </c>
      <c r="C15" s="6"/>
      <c r="D15" s="6"/>
      <c r="E15" s="6"/>
      <c r="F15" s="6"/>
    </row>
    <row r="16" spans="2:6" x14ac:dyDescent="0.25">
      <c r="B16" s="7" t="s">
        <v>20</v>
      </c>
      <c r="C16" s="7"/>
      <c r="D16" s="7"/>
      <c r="E16" s="7"/>
      <c r="F16" s="7"/>
    </row>
    <row r="17" spans="2:6" x14ac:dyDescent="0.25">
      <c r="B17" s="7" t="s">
        <v>21</v>
      </c>
      <c r="C17" s="7"/>
      <c r="D17" s="7"/>
      <c r="E17" s="7"/>
      <c r="F17" s="7"/>
    </row>
    <row r="18" spans="2:6" x14ac:dyDescent="0.25">
      <c r="B18" s="7" t="s">
        <v>22</v>
      </c>
      <c r="C18" s="7"/>
      <c r="D18" s="7"/>
      <c r="E18" s="7"/>
      <c r="F18" s="7"/>
    </row>
    <row r="19" spans="2:6" x14ac:dyDescent="0.25">
      <c r="B19" s="7" t="s">
        <v>23</v>
      </c>
      <c r="C19" s="7"/>
      <c r="D19" s="7"/>
      <c r="E19" s="7"/>
      <c r="F19" s="7"/>
    </row>
    <row r="20" spans="2:6" x14ac:dyDescent="0.25">
      <c r="B20" s="7" t="s">
        <v>24</v>
      </c>
      <c r="C20" s="7"/>
      <c r="D20" s="7"/>
      <c r="E20" s="7"/>
      <c r="F20" s="7"/>
    </row>
    <row r="21" spans="2:6" x14ac:dyDescent="0.25">
      <c r="B21" s="7" t="s">
        <v>25</v>
      </c>
      <c r="C21" s="7"/>
      <c r="D21" s="7"/>
      <c r="E21" s="7"/>
      <c r="F21" s="7"/>
    </row>
    <row r="23" spans="2:6" x14ac:dyDescent="0.25">
      <c r="B23" s="6" t="s">
        <v>26</v>
      </c>
      <c r="C23" s="6"/>
      <c r="D23" s="6"/>
      <c r="E23" s="6"/>
      <c r="F23" s="6"/>
    </row>
    <row r="24" spans="2:6" x14ac:dyDescent="0.25">
      <c r="B24" s="8" t="s">
        <v>27</v>
      </c>
      <c r="C24" s="9" t="s">
        <v>28</v>
      </c>
      <c r="D24" s="9"/>
      <c r="E24" s="9"/>
      <c r="F24" s="9"/>
    </row>
    <row r="25" spans="2:6" x14ac:dyDescent="0.25">
      <c r="B25" s="8" t="s">
        <v>29</v>
      </c>
      <c r="C25" s="9" t="s">
        <v>30</v>
      </c>
      <c r="D25" s="9"/>
      <c r="E25" s="9"/>
      <c r="F25" s="9"/>
    </row>
    <row r="26" spans="2:6" x14ac:dyDescent="0.25">
      <c r="B26" s="8" t="s">
        <v>31</v>
      </c>
      <c r="C26" s="9" t="s">
        <v>32</v>
      </c>
      <c r="D26" s="9"/>
      <c r="E26" s="9"/>
      <c r="F26" s="9"/>
    </row>
    <row r="27" spans="2:6" x14ac:dyDescent="0.25">
      <c r="B27" s="8" t="s">
        <v>33</v>
      </c>
      <c r="C27" s="9" t="s">
        <v>34</v>
      </c>
      <c r="D27" s="9"/>
      <c r="E27" s="9"/>
      <c r="F27" s="9"/>
    </row>
    <row r="28" spans="2:6" x14ac:dyDescent="0.25">
      <c r="B28" s="8" t="s">
        <v>35</v>
      </c>
      <c r="C28" s="9" t="s">
        <v>36</v>
      </c>
      <c r="D28" s="9"/>
      <c r="E28" s="9"/>
      <c r="F28" s="9"/>
    </row>
  </sheetData>
  <mergeCells count="24">
    <mergeCell ref="B2:F2"/>
    <mergeCell ref="B3:F3"/>
    <mergeCell ref="B4:F4"/>
    <mergeCell ref="C6:F6"/>
    <mergeCell ref="C7:F7"/>
    <mergeCell ref="C8:F8"/>
    <mergeCell ref="C9:F9"/>
    <mergeCell ref="C10:F10"/>
    <mergeCell ref="C11:F11"/>
    <mergeCell ref="C12:F12"/>
    <mergeCell ref="C13:F13"/>
    <mergeCell ref="B15:F15"/>
    <mergeCell ref="B16:F16"/>
    <mergeCell ref="B17:F17"/>
    <mergeCell ref="B18:F18"/>
    <mergeCell ref="B19:F19"/>
    <mergeCell ref="B20:F20"/>
    <mergeCell ref="B21:F21"/>
    <mergeCell ref="B23:F23"/>
    <mergeCell ref="C24:F24"/>
    <mergeCell ref="C25:F25"/>
    <mergeCell ref="C26:F26"/>
    <mergeCell ref="C27:F27"/>
    <mergeCell ref="C28:F2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3" customWidth="1"/>
    <col min="3" max="3" width="5" customWidth="1"/>
    <col min="4" max="4" width="30" customWidth="1"/>
    <col min="5" max="5" width="26" customWidth="1"/>
    <col min="6" max="6" width="30" customWidth="1"/>
    <col min="7" max="7" width="34" customWidth="1"/>
    <col min="8" max="8" width="46" customWidth="1"/>
    <col min="9" max="9" width="12" customWidth="1"/>
    <col min="11" max="11" width="16" customWidth="1"/>
    <col min="12" max="12" width="12" customWidth="1"/>
    <col min="13" max="13" width="30" customWidth="1"/>
  </cols>
  <sheetData>
    <row r="1" ht="30" customHeight="1" spans="1:13" x14ac:dyDescent="0.25">
      <c r="A1" s="10" t="s">
        <v>37</v>
      </c>
      <c r="B1" s="10" t="s">
        <v>38</v>
      </c>
      <c r="C1" s="10" t="s">
        <v>39</v>
      </c>
      <c r="D1" s="10" t="s">
        <v>40</v>
      </c>
      <c r="E1" s="10" t="s">
        <v>41</v>
      </c>
      <c r="F1" s="10" t="s">
        <v>42</v>
      </c>
      <c r="G1" s="10" t="s">
        <v>43</v>
      </c>
      <c r="H1" s="10" t="s">
        <v>44</v>
      </c>
      <c r="I1" s="10" t="s">
        <v>45</v>
      </c>
      <c r="J1" s="10" t="s">
        <v>46</v>
      </c>
      <c r="K1" s="10" t="s">
        <v>47</v>
      </c>
      <c r="L1" s="10" t="s">
        <v>48</v>
      </c>
      <c r="M1" s="10" t="s">
        <v>49</v>
      </c>
    </row>
    <row r="2" spans="1:13" x14ac:dyDescent="0.25">
      <c r="A2" s="11" t="s">
        <v>50</v>
      </c>
      <c r="B2" s="12" t="s">
        <v>51</v>
      </c>
      <c r="C2" s="12">
        <v>1</v>
      </c>
      <c r="D2" s="12" t="s">
        <v>52</v>
      </c>
      <c r="E2" s="12" t="s">
        <v>53</v>
      </c>
      <c r="F2" s="12" t="s">
        <v>54</v>
      </c>
      <c r="G2" s="12" t="s">
        <v>55</v>
      </c>
      <c r="H2" s="12" t="s">
        <v>56</v>
      </c>
      <c r="I2" s="13" t="s">
        <v>57</v>
      </c>
      <c r="J2" s="14" t="s">
        <v>58</v>
      </c>
      <c r="K2" s="12" t="s">
        <v>59</v>
      </c>
      <c r="L2" s="12" t="s">
        <v>60</v>
      </c>
      <c r="M2" s="12" t="s">
        <v>60</v>
      </c>
    </row>
    <row r="3" spans="1:13" x14ac:dyDescent="0.25">
      <c r="A3" s="11" t="s">
        <v>61</v>
      </c>
      <c r="B3" s="12" t="s">
        <v>51</v>
      </c>
      <c r="C3" s="12">
        <v>2</v>
      </c>
      <c r="D3" s="12" t="s">
        <v>62</v>
      </c>
      <c r="E3" s="12" t="s">
        <v>63</v>
      </c>
      <c r="F3" s="12" t="s">
        <v>64</v>
      </c>
      <c r="G3" s="12" t="s">
        <v>65</v>
      </c>
      <c r="H3" s="12" t="s">
        <v>66</v>
      </c>
      <c r="I3" s="13" t="s">
        <v>57</v>
      </c>
      <c r="J3" s="14" t="s">
        <v>58</v>
      </c>
      <c r="K3" s="12" t="s">
        <v>67</v>
      </c>
      <c r="L3" s="12" t="s">
        <v>60</v>
      </c>
      <c r="M3" s="12" t="s">
        <v>60</v>
      </c>
    </row>
    <row r="4" spans="1:13" x14ac:dyDescent="0.25">
      <c r="A4" s="11" t="s">
        <v>68</v>
      </c>
      <c r="B4" s="12" t="s">
        <v>51</v>
      </c>
      <c r="C4" s="12">
        <v>3</v>
      </c>
      <c r="D4" s="12" t="s">
        <v>69</v>
      </c>
      <c r="E4" s="12" t="s">
        <v>70</v>
      </c>
      <c r="F4" s="12" t="s">
        <v>71</v>
      </c>
      <c r="G4" s="12" t="s">
        <v>72</v>
      </c>
      <c r="H4" s="12" t="s">
        <v>73</v>
      </c>
      <c r="I4" s="13" t="s">
        <v>57</v>
      </c>
      <c r="J4" s="14" t="s">
        <v>58</v>
      </c>
      <c r="K4" s="12" t="s">
        <v>67</v>
      </c>
      <c r="L4" s="12" t="s">
        <v>60</v>
      </c>
      <c r="M4" s="12" t="s">
        <v>60</v>
      </c>
    </row>
    <row r="5" spans="1:13" x14ac:dyDescent="0.25">
      <c r="A5" s="11" t="s">
        <v>74</v>
      </c>
      <c r="B5" s="12" t="s">
        <v>51</v>
      </c>
      <c r="C5" s="12">
        <v>4</v>
      </c>
      <c r="D5" s="12" t="s">
        <v>75</v>
      </c>
      <c r="E5" s="12" t="s">
        <v>76</v>
      </c>
      <c r="F5" s="12" t="s">
        <v>77</v>
      </c>
      <c r="G5" s="12" t="s">
        <v>78</v>
      </c>
      <c r="H5" s="12" t="s">
        <v>79</v>
      </c>
      <c r="I5" s="15" t="s">
        <v>80</v>
      </c>
      <c r="J5" s="14" t="s">
        <v>58</v>
      </c>
      <c r="K5" s="12" t="s">
        <v>67</v>
      </c>
      <c r="L5" s="12" t="s">
        <v>60</v>
      </c>
      <c r="M5" s="12" t="s">
        <v>60</v>
      </c>
    </row>
    <row r="6" spans="1:13" x14ac:dyDescent="0.25">
      <c r="A6" s="11" t="s">
        <v>81</v>
      </c>
      <c r="B6" s="12" t="s">
        <v>51</v>
      </c>
      <c r="C6" s="12">
        <v>5</v>
      </c>
      <c r="D6" s="12" t="s">
        <v>82</v>
      </c>
      <c r="E6" s="12" t="s">
        <v>83</v>
      </c>
      <c r="F6" s="12" t="s">
        <v>84</v>
      </c>
      <c r="G6" s="12" t="s">
        <v>85</v>
      </c>
      <c r="H6" s="12" t="s">
        <v>86</v>
      </c>
      <c r="I6" s="15" t="s">
        <v>80</v>
      </c>
      <c r="J6" s="16" t="s">
        <v>87</v>
      </c>
      <c r="K6" s="12" t="s">
        <v>67</v>
      </c>
      <c r="L6" s="12" t="s">
        <v>60</v>
      </c>
      <c r="M6" s="12" t="s">
        <v>60</v>
      </c>
    </row>
    <row r="7" spans="1:13" x14ac:dyDescent="0.25">
      <c r="A7" s="11" t="s">
        <v>88</v>
      </c>
      <c r="B7" s="12" t="s">
        <v>51</v>
      </c>
      <c r="C7" s="12">
        <v>6</v>
      </c>
      <c r="D7" s="12" t="s">
        <v>89</v>
      </c>
      <c r="E7" s="12" t="s">
        <v>90</v>
      </c>
      <c r="F7" s="12" t="s">
        <v>91</v>
      </c>
      <c r="G7" s="12" t="s">
        <v>92</v>
      </c>
      <c r="H7" s="12" t="s">
        <v>93</v>
      </c>
      <c r="I7" s="13" t="s">
        <v>57</v>
      </c>
      <c r="J7" s="16" t="s">
        <v>87</v>
      </c>
      <c r="K7" s="12" t="s">
        <v>67</v>
      </c>
      <c r="L7" s="12" t="s">
        <v>60</v>
      </c>
      <c r="M7" s="12" t="s">
        <v>60</v>
      </c>
    </row>
    <row r="8" spans="1:13" x14ac:dyDescent="0.25">
      <c r="A8" s="11" t="s">
        <v>94</v>
      </c>
      <c r="B8" s="12" t="s">
        <v>51</v>
      </c>
      <c r="C8" s="12">
        <v>7</v>
      </c>
      <c r="D8" s="12" t="s">
        <v>95</v>
      </c>
      <c r="E8" s="12" t="s">
        <v>96</v>
      </c>
      <c r="F8" s="12" t="s">
        <v>97</v>
      </c>
      <c r="G8" s="12" t="s">
        <v>98</v>
      </c>
      <c r="H8" s="12" t="s">
        <v>99</v>
      </c>
      <c r="I8" s="13" t="s">
        <v>57</v>
      </c>
      <c r="J8" s="16" t="s">
        <v>87</v>
      </c>
      <c r="K8" s="12" t="s">
        <v>67</v>
      </c>
      <c r="L8" s="12" t="s">
        <v>60</v>
      </c>
      <c r="M8" s="12" t="s">
        <v>100</v>
      </c>
    </row>
    <row r="9" spans="1:13" x14ac:dyDescent="0.25">
      <c r="A9" s="11" t="s">
        <v>101</v>
      </c>
      <c r="B9" s="12" t="s">
        <v>51</v>
      </c>
      <c r="C9" s="12">
        <v>8</v>
      </c>
      <c r="D9" s="12" t="s">
        <v>102</v>
      </c>
      <c r="E9" s="12" t="s">
        <v>103</v>
      </c>
      <c r="F9" s="12" t="s">
        <v>104</v>
      </c>
      <c r="G9" s="12" t="s">
        <v>105</v>
      </c>
      <c r="H9" s="12" t="s">
        <v>106</v>
      </c>
      <c r="I9" s="15" t="s">
        <v>80</v>
      </c>
      <c r="J9" s="14" t="s">
        <v>58</v>
      </c>
      <c r="K9" s="12" t="s">
        <v>59</v>
      </c>
      <c r="L9" s="12" t="s">
        <v>60</v>
      </c>
      <c r="M9" s="12" t="s">
        <v>107</v>
      </c>
    </row>
    <row r="10" spans="1:13" x14ac:dyDescent="0.25">
      <c r="A10" s="11" t="s">
        <v>108</v>
      </c>
      <c r="B10" s="12" t="s">
        <v>51</v>
      </c>
      <c r="C10" s="12">
        <v>9</v>
      </c>
      <c r="D10" s="12" t="s">
        <v>109</v>
      </c>
      <c r="E10" s="12" t="s">
        <v>110</v>
      </c>
      <c r="F10" s="12" t="s">
        <v>111</v>
      </c>
      <c r="G10" s="12" t="s">
        <v>112</v>
      </c>
      <c r="H10" s="12" t="s">
        <v>113</v>
      </c>
      <c r="I10" s="13" t="s">
        <v>57</v>
      </c>
      <c r="J10" s="14" t="s">
        <v>58</v>
      </c>
      <c r="K10" s="12" t="s">
        <v>59</v>
      </c>
      <c r="L10" s="12" t="s">
        <v>60</v>
      </c>
      <c r="M10" s="12" t="s">
        <v>60</v>
      </c>
    </row>
    <row r="11" spans="1:13" x14ac:dyDescent="0.25">
      <c r="A11" s="11" t="s">
        <v>114</v>
      </c>
      <c r="B11" s="12" t="s">
        <v>51</v>
      </c>
      <c r="C11" s="12">
        <v>10</v>
      </c>
      <c r="D11" s="12" t="s">
        <v>115</v>
      </c>
      <c r="E11" s="12" t="s">
        <v>116</v>
      </c>
      <c r="F11" s="12" t="s">
        <v>117</v>
      </c>
      <c r="G11" s="12" t="s">
        <v>118</v>
      </c>
      <c r="H11" s="12" t="s">
        <v>119</v>
      </c>
      <c r="I11" s="15" t="s">
        <v>80</v>
      </c>
      <c r="J11" s="16" t="s">
        <v>87</v>
      </c>
      <c r="K11" s="12" t="s">
        <v>59</v>
      </c>
      <c r="L11" s="12" t="s">
        <v>60</v>
      </c>
      <c r="M11" s="12" t="s">
        <v>60</v>
      </c>
    </row>
    <row r="12" spans="1:13" x14ac:dyDescent="0.25">
      <c r="A12" s="11" t="s">
        <v>120</v>
      </c>
      <c r="B12" s="12" t="s">
        <v>51</v>
      </c>
      <c r="C12" s="12">
        <v>11</v>
      </c>
      <c r="D12" s="12" t="s">
        <v>121</v>
      </c>
      <c r="E12" s="12" t="s">
        <v>122</v>
      </c>
      <c r="F12" s="12" t="s">
        <v>123</v>
      </c>
      <c r="G12" s="12" t="s">
        <v>124</v>
      </c>
      <c r="H12" s="12" t="s">
        <v>125</v>
      </c>
      <c r="I12" s="17" t="s">
        <v>126</v>
      </c>
      <c r="J12" s="14" t="s">
        <v>58</v>
      </c>
      <c r="K12" s="12" t="s">
        <v>67</v>
      </c>
      <c r="L12" s="18" t="s">
        <v>127</v>
      </c>
      <c r="M12" s="12" t="s">
        <v>128</v>
      </c>
    </row>
    <row r="13" spans="1:13" x14ac:dyDescent="0.25">
      <c r="A13" s="11" t="s">
        <v>129</v>
      </c>
      <c r="B13" s="12" t="s">
        <v>51</v>
      </c>
      <c r="C13" s="12">
        <v>12</v>
      </c>
      <c r="D13" s="12" t="s">
        <v>130</v>
      </c>
      <c r="E13" s="12" t="s">
        <v>131</v>
      </c>
      <c r="F13" s="12" t="s">
        <v>132</v>
      </c>
      <c r="G13" s="12" t="s">
        <v>133</v>
      </c>
      <c r="H13" s="12" t="s">
        <v>134</v>
      </c>
      <c r="I13" s="15" t="s">
        <v>80</v>
      </c>
      <c r="J13" s="19" t="s">
        <v>135</v>
      </c>
      <c r="K13" s="12" t="s">
        <v>67</v>
      </c>
      <c r="L13" s="12" t="s">
        <v>60</v>
      </c>
      <c r="M13" s="12" t="s">
        <v>60</v>
      </c>
    </row>
    <row r="14" spans="1:13" x14ac:dyDescent="0.25">
      <c r="A14" s="11" t="s">
        <v>136</v>
      </c>
      <c r="B14" s="12" t="s">
        <v>51</v>
      </c>
      <c r="C14" s="12">
        <v>13</v>
      </c>
      <c r="D14" s="12" t="s">
        <v>137</v>
      </c>
      <c r="E14" s="12" t="s">
        <v>90</v>
      </c>
      <c r="F14" s="12" t="s">
        <v>138</v>
      </c>
      <c r="G14" s="12" t="s">
        <v>139</v>
      </c>
      <c r="H14" s="12" t="s">
        <v>140</v>
      </c>
      <c r="I14" s="13" t="s">
        <v>57</v>
      </c>
      <c r="J14" s="14" t="s">
        <v>58</v>
      </c>
      <c r="K14" s="12" t="s">
        <v>67</v>
      </c>
      <c r="L14" s="12" t="s">
        <v>60</v>
      </c>
      <c r="M14" s="12" t="s">
        <v>60</v>
      </c>
    </row>
    <row r="15" spans="1:13" x14ac:dyDescent="0.25">
      <c r="A15" s="11" t="s">
        <v>141</v>
      </c>
      <c r="B15" s="12" t="s">
        <v>51</v>
      </c>
      <c r="C15" s="12">
        <v>14</v>
      </c>
      <c r="D15" s="12" t="s">
        <v>142</v>
      </c>
      <c r="E15" s="12" t="s">
        <v>143</v>
      </c>
      <c r="F15" s="12" t="s">
        <v>144</v>
      </c>
      <c r="G15" s="12" t="s">
        <v>145</v>
      </c>
      <c r="H15" s="12" t="s">
        <v>146</v>
      </c>
      <c r="I15" s="15" t="s">
        <v>80</v>
      </c>
      <c r="J15" s="16" t="s">
        <v>87</v>
      </c>
      <c r="K15" s="12" t="s">
        <v>59</v>
      </c>
      <c r="L15" s="12" t="s">
        <v>60</v>
      </c>
      <c r="M15" s="12" t="s">
        <v>60</v>
      </c>
    </row>
    <row r="16" spans="1:13" x14ac:dyDescent="0.25">
      <c r="A16" s="11" t="s">
        <v>147</v>
      </c>
      <c r="B16" s="12" t="s">
        <v>148</v>
      </c>
      <c r="C16" s="12">
        <v>1</v>
      </c>
      <c r="D16" s="12" t="s">
        <v>149</v>
      </c>
      <c r="E16" s="12" t="s">
        <v>150</v>
      </c>
      <c r="F16" s="12" t="s">
        <v>151</v>
      </c>
      <c r="G16" s="12" t="s">
        <v>152</v>
      </c>
      <c r="H16" s="12" t="s">
        <v>153</v>
      </c>
      <c r="I16" s="13" t="s">
        <v>57</v>
      </c>
      <c r="J16" s="14" t="s">
        <v>58</v>
      </c>
      <c r="K16" s="12" t="s">
        <v>59</v>
      </c>
      <c r="L16" s="12" t="s">
        <v>60</v>
      </c>
      <c r="M16" s="12" t="s">
        <v>60</v>
      </c>
    </row>
    <row r="17" spans="1:13" x14ac:dyDescent="0.25">
      <c r="A17" s="11" t="s">
        <v>154</v>
      </c>
      <c r="B17" s="12" t="s">
        <v>148</v>
      </c>
      <c r="C17" s="12">
        <v>2</v>
      </c>
      <c r="D17" s="12" t="s">
        <v>155</v>
      </c>
      <c r="E17" s="12" t="s">
        <v>156</v>
      </c>
      <c r="F17" s="12" t="s">
        <v>157</v>
      </c>
      <c r="G17" s="12" t="s">
        <v>158</v>
      </c>
      <c r="H17" s="12" t="s">
        <v>159</v>
      </c>
      <c r="I17" s="13" t="s">
        <v>57</v>
      </c>
      <c r="J17" s="14" t="s">
        <v>58</v>
      </c>
      <c r="K17" s="12" t="s">
        <v>160</v>
      </c>
      <c r="L17" s="12" t="s">
        <v>60</v>
      </c>
      <c r="M17" s="12" t="s">
        <v>60</v>
      </c>
    </row>
    <row r="18" spans="1:13" x14ac:dyDescent="0.25">
      <c r="A18" s="11" t="s">
        <v>161</v>
      </c>
      <c r="B18" s="12" t="s">
        <v>148</v>
      </c>
      <c r="C18" s="12">
        <v>3</v>
      </c>
      <c r="D18" s="12" t="s">
        <v>162</v>
      </c>
      <c r="E18" s="12" t="s">
        <v>163</v>
      </c>
      <c r="F18" s="12" t="s">
        <v>164</v>
      </c>
      <c r="G18" s="12" t="s">
        <v>165</v>
      </c>
      <c r="H18" s="12" t="s">
        <v>166</v>
      </c>
      <c r="I18" s="13" t="s">
        <v>57</v>
      </c>
      <c r="J18" s="14" t="s">
        <v>58</v>
      </c>
      <c r="K18" s="12" t="s">
        <v>160</v>
      </c>
      <c r="L18" s="12" t="s">
        <v>60</v>
      </c>
      <c r="M18" s="12" t="s">
        <v>60</v>
      </c>
    </row>
    <row r="19" spans="1:13" x14ac:dyDescent="0.25">
      <c r="A19" s="11" t="s">
        <v>167</v>
      </c>
      <c r="B19" s="12" t="s">
        <v>148</v>
      </c>
      <c r="C19" s="12">
        <v>4</v>
      </c>
      <c r="D19" s="12" t="s">
        <v>168</v>
      </c>
      <c r="E19" s="12" t="s">
        <v>169</v>
      </c>
      <c r="F19" s="12" t="s">
        <v>170</v>
      </c>
      <c r="G19" s="12" t="s">
        <v>171</v>
      </c>
      <c r="H19" s="12" t="s">
        <v>172</v>
      </c>
      <c r="I19" s="13" t="s">
        <v>57</v>
      </c>
      <c r="J19" s="14" t="s">
        <v>58</v>
      </c>
      <c r="K19" s="12" t="s">
        <v>173</v>
      </c>
      <c r="L19" s="12" t="s">
        <v>60</v>
      </c>
      <c r="M19" s="12" t="s">
        <v>60</v>
      </c>
    </row>
    <row r="20" spans="1:13" x14ac:dyDescent="0.25">
      <c r="A20" s="11" t="s">
        <v>174</v>
      </c>
      <c r="B20" s="12" t="s">
        <v>148</v>
      </c>
      <c r="C20" s="12">
        <v>5</v>
      </c>
      <c r="D20" s="12" t="s">
        <v>175</v>
      </c>
      <c r="E20" s="12" t="s">
        <v>176</v>
      </c>
      <c r="F20" s="12" t="s">
        <v>177</v>
      </c>
      <c r="G20" s="12" t="s">
        <v>178</v>
      </c>
      <c r="H20" s="12" t="s">
        <v>179</v>
      </c>
      <c r="I20" s="13" t="s">
        <v>57</v>
      </c>
      <c r="J20" s="14" t="s">
        <v>58</v>
      </c>
      <c r="K20" s="12" t="s">
        <v>59</v>
      </c>
      <c r="L20" s="12" t="s">
        <v>60</v>
      </c>
      <c r="M20" s="12" t="s">
        <v>60</v>
      </c>
    </row>
    <row r="21" spans="1:13" x14ac:dyDescent="0.25">
      <c r="A21" s="11" t="s">
        <v>180</v>
      </c>
      <c r="B21" s="12" t="s">
        <v>148</v>
      </c>
      <c r="C21" s="12">
        <v>6</v>
      </c>
      <c r="D21" s="12" t="s">
        <v>181</v>
      </c>
      <c r="E21" s="12" t="s">
        <v>182</v>
      </c>
      <c r="F21" s="12" t="s">
        <v>183</v>
      </c>
      <c r="G21" s="12" t="s">
        <v>184</v>
      </c>
      <c r="H21" s="12" t="s">
        <v>185</v>
      </c>
      <c r="I21" s="15" t="s">
        <v>80</v>
      </c>
      <c r="J21" s="16" t="s">
        <v>87</v>
      </c>
      <c r="K21" s="12" t="s">
        <v>186</v>
      </c>
      <c r="L21" s="12" t="s">
        <v>60</v>
      </c>
      <c r="M21" s="12" t="s">
        <v>60</v>
      </c>
    </row>
    <row r="22" spans="1:13" x14ac:dyDescent="0.25">
      <c r="A22" s="11" t="s">
        <v>187</v>
      </c>
      <c r="B22" s="12" t="s">
        <v>148</v>
      </c>
      <c r="C22" s="12">
        <v>7</v>
      </c>
      <c r="D22" s="12" t="s">
        <v>188</v>
      </c>
      <c r="E22" s="12" t="s">
        <v>189</v>
      </c>
      <c r="F22" s="12" t="s">
        <v>190</v>
      </c>
      <c r="G22" s="12" t="s">
        <v>191</v>
      </c>
      <c r="H22" s="12" t="s">
        <v>192</v>
      </c>
      <c r="I22" s="15" t="s">
        <v>80</v>
      </c>
      <c r="J22" s="16" t="s">
        <v>87</v>
      </c>
      <c r="K22" s="12" t="s">
        <v>186</v>
      </c>
      <c r="L22" s="12" t="s">
        <v>60</v>
      </c>
      <c r="M22" s="12" t="s">
        <v>60</v>
      </c>
    </row>
    <row r="23" spans="1:13" x14ac:dyDescent="0.25">
      <c r="A23" s="11" t="s">
        <v>193</v>
      </c>
      <c r="B23" s="12" t="s">
        <v>194</v>
      </c>
      <c r="C23" s="12">
        <v>1</v>
      </c>
      <c r="D23" s="12" t="s">
        <v>195</v>
      </c>
      <c r="E23" s="12" t="s">
        <v>196</v>
      </c>
      <c r="F23" s="12" t="s">
        <v>197</v>
      </c>
      <c r="G23" s="12" t="s">
        <v>198</v>
      </c>
      <c r="H23" s="12" t="s">
        <v>199</v>
      </c>
      <c r="I23" s="13" t="s">
        <v>57</v>
      </c>
      <c r="J23" s="14" t="s">
        <v>58</v>
      </c>
      <c r="K23" s="12" t="s">
        <v>200</v>
      </c>
      <c r="L23" s="12" t="s">
        <v>60</v>
      </c>
      <c r="M23" s="12" t="s">
        <v>60</v>
      </c>
    </row>
    <row r="24" spans="1:13" x14ac:dyDescent="0.25">
      <c r="A24" s="11" t="s">
        <v>201</v>
      </c>
      <c r="B24" s="12" t="s">
        <v>194</v>
      </c>
      <c r="C24" s="12">
        <v>2</v>
      </c>
      <c r="D24" s="12" t="s">
        <v>202</v>
      </c>
      <c r="E24" s="12" t="s">
        <v>203</v>
      </c>
      <c r="F24" s="12" t="s">
        <v>204</v>
      </c>
      <c r="G24" s="12" t="s">
        <v>205</v>
      </c>
      <c r="H24" s="12" t="s">
        <v>206</v>
      </c>
      <c r="I24" s="13" t="s">
        <v>57</v>
      </c>
      <c r="J24" s="14" t="s">
        <v>58</v>
      </c>
      <c r="K24" s="12" t="s">
        <v>200</v>
      </c>
      <c r="L24" s="12" t="s">
        <v>60</v>
      </c>
      <c r="M24" s="12" t="s">
        <v>60</v>
      </c>
    </row>
    <row r="25" spans="1:13" x14ac:dyDescent="0.25">
      <c r="A25" s="11" t="s">
        <v>207</v>
      </c>
      <c r="B25" s="12" t="s">
        <v>194</v>
      </c>
      <c r="C25" s="12">
        <v>3</v>
      </c>
      <c r="D25" s="12" t="s">
        <v>208</v>
      </c>
      <c r="E25" s="12" t="s">
        <v>209</v>
      </c>
      <c r="F25" s="12" t="s">
        <v>210</v>
      </c>
      <c r="G25" s="12" t="s">
        <v>211</v>
      </c>
      <c r="H25" s="12" t="s">
        <v>212</v>
      </c>
      <c r="I25" s="15" t="s">
        <v>80</v>
      </c>
      <c r="J25" s="16" t="s">
        <v>87</v>
      </c>
      <c r="K25" s="12" t="s">
        <v>200</v>
      </c>
      <c r="L25" s="12" t="s">
        <v>60</v>
      </c>
      <c r="M25" s="12" t="s">
        <v>60</v>
      </c>
    </row>
    <row r="26" spans="1:13" x14ac:dyDescent="0.25">
      <c r="A26" s="11" t="s">
        <v>213</v>
      </c>
      <c r="B26" s="12" t="s">
        <v>194</v>
      </c>
      <c r="C26" s="12">
        <v>4</v>
      </c>
      <c r="D26" s="12" t="s">
        <v>214</v>
      </c>
      <c r="E26" s="12" t="s">
        <v>215</v>
      </c>
      <c r="F26" s="12" t="s">
        <v>216</v>
      </c>
      <c r="G26" s="12" t="s">
        <v>217</v>
      </c>
      <c r="H26" s="12" t="s">
        <v>218</v>
      </c>
      <c r="I26" s="15" t="s">
        <v>80</v>
      </c>
      <c r="J26" s="14" t="s">
        <v>58</v>
      </c>
      <c r="K26" s="12" t="s">
        <v>200</v>
      </c>
      <c r="L26" s="12" t="s">
        <v>60</v>
      </c>
      <c r="M26" s="12" t="s">
        <v>60</v>
      </c>
    </row>
    <row r="27" spans="1:13" x14ac:dyDescent="0.25">
      <c r="A27" s="11" t="s">
        <v>219</v>
      </c>
      <c r="B27" s="12" t="s">
        <v>194</v>
      </c>
      <c r="C27" s="12">
        <v>5</v>
      </c>
      <c r="D27" s="12" t="s">
        <v>220</v>
      </c>
      <c r="E27" s="12" t="s">
        <v>221</v>
      </c>
      <c r="F27" s="12" t="s">
        <v>222</v>
      </c>
      <c r="G27" s="12" t="s">
        <v>223</v>
      </c>
      <c r="H27" s="12" t="s">
        <v>218</v>
      </c>
      <c r="I27" s="15" t="s">
        <v>80</v>
      </c>
      <c r="J27" s="14" t="s">
        <v>58</v>
      </c>
      <c r="K27" s="12" t="s">
        <v>200</v>
      </c>
      <c r="L27" s="12" t="s">
        <v>60</v>
      </c>
      <c r="M27" s="12" t="s">
        <v>60</v>
      </c>
    </row>
    <row r="28" spans="1:13" x14ac:dyDescent="0.25">
      <c r="A28" s="11" t="s">
        <v>224</v>
      </c>
      <c r="B28" s="12" t="s">
        <v>194</v>
      </c>
      <c r="C28" s="12">
        <v>6</v>
      </c>
      <c r="D28" s="12" t="s">
        <v>225</v>
      </c>
      <c r="E28" s="12" t="s">
        <v>226</v>
      </c>
      <c r="F28" s="12" t="s">
        <v>227</v>
      </c>
      <c r="G28" s="12" t="s">
        <v>228</v>
      </c>
      <c r="H28" s="12" t="s">
        <v>218</v>
      </c>
      <c r="I28" s="15" t="s">
        <v>80</v>
      </c>
      <c r="J28" s="14" t="s">
        <v>58</v>
      </c>
      <c r="K28" s="12" t="s">
        <v>200</v>
      </c>
      <c r="L28" s="12" t="s">
        <v>60</v>
      </c>
      <c r="M28" s="12" t="s">
        <v>60</v>
      </c>
    </row>
    <row r="29" spans="1:13" x14ac:dyDescent="0.25">
      <c r="A29" s="11" t="s">
        <v>229</v>
      </c>
      <c r="B29" s="12" t="s">
        <v>194</v>
      </c>
      <c r="C29" s="12">
        <v>7</v>
      </c>
      <c r="D29" s="12" t="s">
        <v>230</v>
      </c>
      <c r="E29" s="12" t="s">
        <v>226</v>
      </c>
      <c r="F29" s="12" t="s">
        <v>231</v>
      </c>
      <c r="G29" s="12" t="s">
        <v>232</v>
      </c>
      <c r="H29" s="12" t="s">
        <v>233</v>
      </c>
      <c r="I29" s="15" t="s">
        <v>80</v>
      </c>
      <c r="J29" s="14" t="s">
        <v>58</v>
      </c>
      <c r="K29" s="12" t="s">
        <v>200</v>
      </c>
      <c r="L29" s="12" t="s">
        <v>60</v>
      </c>
      <c r="M29" s="12" t="s">
        <v>60</v>
      </c>
    </row>
    <row r="30" spans="1:13" x14ac:dyDescent="0.25">
      <c r="A30" s="11" t="s">
        <v>234</v>
      </c>
      <c r="B30" s="12" t="s">
        <v>194</v>
      </c>
      <c r="C30" s="12">
        <v>8</v>
      </c>
      <c r="D30" s="12" t="s">
        <v>235</v>
      </c>
      <c r="E30" s="12" t="s">
        <v>236</v>
      </c>
      <c r="F30" s="12" t="s">
        <v>237</v>
      </c>
      <c r="G30" s="12" t="s">
        <v>238</v>
      </c>
      <c r="H30" s="12" t="s">
        <v>239</v>
      </c>
      <c r="I30" s="15" t="s">
        <v>80</v>
      </c>
      <c r="J30" s="14" t="s">
        <v>58</v>
      </c>
      <c r="K30" s="12" t="s">
        <v>200</v>
      </c>
      <c r="L30" s="12" t="s">
        <v>60</v>
      </c>
      <c r="M30" s="12" t="s">
        <v>60</v>
      </c>
    </row>
    <row r="31" spans="1:13" x14ac:dyDescent="0.25">
      <c r="A31" s="11" t="s">
        <v>240</v>
      </c>
      <c r="B31" s="12" t="s">
        <v>194</v>
      </c>
      <c r="C31" s="12">
        <v>9</v>
      </c>
      <c r="D31" s="12" t="s">
        <v>241</v>
      </c>
      <c r="E31" s="12" t="s">
        <v>242</v>
      </c>
      <c r="F31" s="12" t="s">
        <v>243</v>
      </c>
      <c r="G31" s="12" t="s">
        <v>244</v>
      </c>
      <c r="H31" s="12" t="s">
        <v>218</v>
      </c>
      <c r="I31" s="15" t="s">
        <v>80</v>
      </c>
      <c r="J31" s="16" t="s">
        <v>87</v>
      </c>
      <c r="K31" s="12" t="s">
        <v>200</v>
      </c>
      <c r="L31" s="12" t="s">
        <v>60</v>
      </c>
      <c r="M31" s="12" t="s">
        <v>60</v>
      </c>
    </row>
    <row r="32" spans="1:13" x14ac:dyDescent="0.25">
      <c r="A32" s="11" t="s">
        <v>245</v>
      </c>
      <c r="B32" s="12" t="s">
        <v>194</v>
      </c>
      <c r="C32" s="12">
        <v>10</v>
      </c>
      <c r="D32" s="12" t="s">
        <v>246</v>
      </c>
      <c r="E32" s="12" t="s">
        <v>226</v>
      </c>
      <c r="F32" s="12" t="s">
        <v>247</v>
      </c>
      <c r="G32" s="12" t="s">
        <v>248</v>
      </c>
      <c r="H32" s="12" t="s">
        <v>218</v>
      </c>
      <c r="I32" s="15" t="s">
        <v>80</v>
      </c>
      <c r="J32" s="16" t="s">
        <v>87</v>
      </c>
      <c r="K32" s="12" t="s">
        <v>200</v>
      </c>
      <c r="L32" s="12" t="s">
        <v>60</v>
      </c>
      <c r="M32" s="12" t="s">
        <v>60</v>
      </c>
    </row>
    <row r="33" spans="1:13" x14ac:dyDescent="0.25">
      <c r="A33" s="11" t="s">
        <v>249</v>
      </c>
      <c r="B33" s="12" t="s">
        <v>194</v>
      </c>
      <c r="C33" s="12">
        <v>11</v>
      </c>
      <c r="D33" s="12" t="s">
        <v>250</v>
      </c>
      <c r="E33" s="12" t="s">
        <v>251</v>
      </c>
      <c r="F33" s="12" t="s">
        <v>252</v>
      </c>
      <c r="G33" s="12" t="s">
        <v>253</v>
      </c>
      <c r="H33" s="12" t="s">
        <v>254</v>
      </c>
      <c r="I33" s="15" t="s">
        <v>80</v>
      </c>
      <c r="J33" s="16" t="s">
        <v>87</v>
      </c>
      <c r="K33" s="12" t="s">
        <v>200</v>
      </c>
      <c r="L33" s="12" t="s">
        <v>60</v>
      </c>
      <c r="M33" s="12" t="s">
        <v>60</v>
      </c>
    </row>
    <row r="34" spans="1:13" x14ac:dyDescent="0.25">
      <c r="A34" s="11" t="s">
        <v>255</v>
      </c>
      <c r="B34" s="12" t="s">
        <v>194</v>
      </c>
      <c r="C34" s="12">
        <v>12</v>
      </c>
      <c r="D34" s="12" t="s">
        <v>256</v>
      </c>
      <c r="E34" s="12" t="s">
        <v>257</v>
      </c>
      <c r="F34" s="12" t="s">
        <v>258</v>
      </c>
      <c r="G34" s="12" t="s">
        <v>259</v>
      </c>
      <c r="H34" s="12" t="s">
        <v>260</v>
      </c>
      <c r="I34" s="15" t="s">
        <v>80</v>
      </c>
      <c r="J34" s="19" t="s">
        <v>135</v>
      </c>
      <c r="K34" s="12" t="s">
        <v>200</v>
      </c>
      <c r="L34" s="12" t="s">
        <v>60</v>
      </c>
      <c r="M34" s="12" t="s">
        <v>60</v>
      </c>
    </row>
    <row r="35" spans="1:13" x14ac:dyDescent="0.25">
      <c r="A35" s="11" t="s">
        <v>261</v>
      </c>
      <c r="B35" s="12" t="s">
        <v>194</v>
      </c>
      <c r="C35" s="12">
        <v>13</v>
      </c>
      <c r="D35" s="12" t="s">
        <v>262</v>
      </c>
      <c r="E35" s="12" t="s">
        <v>263</v>
      </c>
      <c r="F35" s="12" t="s">
        <v>264</v>
      </c>
      <c r="G35" s="12" t="s">
        <v>265</v>
      </c>
      <c r="H35" s="12" t="s">
        <v>266</v>
      </c>
      <c r="I35" s="15" t="s">
        <v>80</v>
      </c>
      <c r="J35" s="14" t="s">
        <v>58</v>
      </c>
      <c r="K35" s="12" t="s">
        <v>200</v>
      </c>
      <c r="L35" s="12" t="s">
        <v>60</v>
      </c>
      <c r="M35" s="12" t="s">
        <v>267</v>
      </c>
    </row>
    <row r="36" spans="1:13" x14ac:dyDescent="0.25">
      <c r="A36" s="11" t="s">
        <v>268</v>
      </c>
      <c r="B36" s="12" t="s">
        <v>194</v>
      </c>
      <c r="C36" s="12">
        <v>14</v>
      </c>
      <c r="D36" s="12" t="s">
        <v>269</v>
      </c>
      <c r="E36" s="12" t="s">
        <v>270</v>
      </c>
      <c r="F36" s="12" t="s">
        <v>271</v>
      </c>
      <c r="G36" s="12" t="s">
        <v>272</v>
      </c>
      <c r="H36" s="12" t="s">
        <v>273</v>
      </c>
      <c r="I36" s="20" t="s">
        <v>274</v>
      </c>
      <c r="J36" s="14" t="s">
        <v>58</v>
      </c>
      <c r="K36" s="12" t="s">
        <v>275</v>
      </c>
      <c r="L36" s="12" t="s">
        <v>60</v>
      </c>
      <c r="M36" s="12" t="s">
        <v>276</v>
      </c>
    </row>
    <row r="37" spans="1:13" x14ac:dyDescent="0.25">
      <c r="A37" s="11" t="s">
        <v>277</v>
      </c>
      <c r="B37" s="12" t="s">
        <v>194</v>
      </c>
      <c r="C37" s="12">
        <v>15</v>
      </c>
      <c r="D37" s="12" t="s">
        <v>278</v>
      </c>
      <c r="E37" s="12" t="s">
        <v>279</v>
      </c>
      <c r="F37" s="12" t="s">
        <v>280</v>
      </c>
      <c r="G37" s="12" t="s">
        <v>281</v>
      </c>
      <c r="H37" s="12" t="s">
        <v>282</v>
      </c>
      <c r="I37" s="20" t="s">
        <v>274</v>
      </c>
      <c r="J37" s="19" t="s">
        <v>135</v>
      </c>
      <c r="K37" s="12" t="s">
        <v>275</v>
      </c>
      <c r="L37" s="12" t="s">
        <v>60</v>
      </c>
      <c r="M37" s="12" t="s">
        <v>60</v>
      </c>
    </row>
    <row r="38" spans="1:13" x14ac:dyDescent="0.25">
      <c r="A38" s="11" t="s">
        <v>283</v>
      </c>
      <c r="B38" s="12" t="s">
        <v>284</v>
      </c>
      <c r="C38" s="12">
        <v>1</v>
      </c>
      <c r="D38" s="12" t="s">
        <v>285</v>
      </c>
      <c r="E38" s="12" t="s">
        <v>286</v>
      </c>
      <c r="F38" s="12" t="s">
        <v>287</v>
      </c>
      <c r="G38" s="12" t="s">
        <v>288</v>
      </c>
      <c r="H38" s="12" t="s">
        <v>289</v>
      </c>
      <c r="I38" s="15" t="s">
        <v>80</v>
      </c>
      <c r="J38" s="14" t="s">
        <v>58</v>
      </c>
      <c r="K38" s="12" t="s">
        <v>200</v>
      </c>
      <c r="L38" s="12" t="s">
        <v>60</v>
      </c>
      <c r="M38" s="12" t="s">
        <v>60</v>
      </c>
    </row>
    <row r="39" spans="1:13" x14ac:dyDescent="0.25">
      <c r="A39" s="11" t="s">
        <v>290</v>
      </c>
      <c r="B39" s="12" t="s">
        <v>284</v>
      </c>
      <c r="C39" s="12">
        <v>2</v>
      </c>
      <c r="D39" s="12" t="s">
        <v>291</v>
      </c>
      <c r="E39" s="12" t="s">
        <v>292</v>
      </c>
      <c r="F39" s="12" t="s">
        <v>293</v>
      </c>
      <c r="G39" s="12" t="s">
        <v>294</v>
      </c>
      <c r="H39" s="12" t="s">
        <v>218</v>
      </c>
      <c r="I39" s="15" t="s">
        <v>80</v>
      </c>
      <c r="J39" s="14" t="s">
        <v>58</v>
      </c>
      <c r="K39" s="12" t="s">
        <v>200</v>
      </c>
      <c r="L39" s="12" t="s">
        <v>60</v>
      </c>
      <c r="M39" s="12" t="s">
        <v>60</v>
      </c>
    </row>
    <row r="40" spans="1:13" x14ac:dyDescent="0.25">
      <c r="A40" s="11" t="s">
        <v>295</v>
      </c>
      <c r="B40" s="12" t="s">
        <v>284</v>
      </c>
      <c r="C40" s="12">
        <v>3</v>
      </c>
      <c r="D40" s="12" t="s">
        <v>296</v>
      </c>
      <c r="E40" s="12" t="s">
        <v>297</v>
      </c>
      <c r="F40" s="12" t="s">
        <v>298</v>
      </c>
      <c r="G40" s="12" t="s">
        <v>299</v>
      </c>
      <c r="H40" s="12" t="s">
        <v>218</v>
      </c>
      <c r="I40" s="15" t="s">
        <v>80</v>
      </c>
      <c r="J40" s="16" t="s">
        <v>87</v>
      </c>
      <c r="K40" s="12" t="s">
        <v>200</v>
      </c>
      <c r="L40" s="12" t="s">
        <v>60</v>
      </c>
      <c r="M40" s="12" t="s">
        <v>60</v>
      </c>
    </row>
    <row r="41" spans="1:13" x14ac:dyDescent="0.25">
      <c r="A41" s="11" t="s">
        <v>300</v>
      </c>
      <c r="B41" s="12" t="s">
        <v>284</v>
      </c>
      <c r="C41" s="12">
        <v>4</v>
      </c>
      <c r="D41" s="12" t="s">
        <v>301</v>
      </c>
      <c r="E41" s="12" t="s">
        <v>302</v>
      </c>
      <c r="F41" s="12" t="s">
        <v>303</v>
      </c>
      <c r="G41" s="12" t="s">
        <v>304</v>
      </c>
      <c r="H41" s="12" t="s">
        <v>218</v>
      </c>
      <c r="I41" s="15" t="s">
        <v>80</v>
      </c>
      <c r="J41" s="14" t="s">
        <v>58</v>
      </c>
      <c r="K41" s="12" t="s">
        <v>200</v>
      </c>
      <c r="L41" s="12" t="s">
        <v>60</v>
      </c>
      <c r="M41" s="12" t="s">
        <v>60</v>
      </c>
    </row>
    <row r="42" spans="1:13" x14ac:dyDescent="0.25">
      <c r="A42" s="11" t="s">
        <v>305</v>
      </c>
      <c r="B42" s="12" t="s">
        <v>284</v>
      </c>
      <c r="C42" s="12">
        <v>5</v>
      </c>
      <c r="D42" s="12" t="s">
        <v>306</v>
      </c>
      <c r="E42" s="12" t="s">
        <v>307</v>
      </c>
      <c r="F42" s="12" t="s">
        <v>308</v>
      </c>
      <c r="G42" s="12" t="s">
        <v>309</v>
      </c>
      <c r="H42" s="12" t="s">
        <v>310</v>
      </c>
      <c r="I42" s="15" t="s">
        <v>80</v>
      </c>
      <c r="J42" s="14" t="s">
        <v>58</v>
      </c>
      <c r="K42" s="12" t="s">
        <v>200</v>
      </c>
      <c r="L42" s="12" t="s">
        <v>60</v>
      </c>
      <c r="M42" s="12" t="s">
        <v>311</v>
      </c>
    </row>
    <row r="43" spans="1:13" x14ac:dyDescent="0.25">
      <c r="A43" s="11" t="s">
        <v>312</v>
      </c>
      <c r="B43" s="12" t="s">
        <v>284</v>
      </c>
      <c r="C43" s="12">
        <v>6</v>
      </c>
      <c r="D43" s="12" t="s">
        <v>313</v>
      </c>
      <c r="E43" s="12" t="s">
        <v>314</v>
      </c>
      <c r="F43" s="12" t="s">
        <v>315</v>
      </c>
      <c r="G43" s="12" t="s">
        <v>316</v>
      </c>
      <c r="H43" s="12" t="s">
        <v>317</v>
      </c>
      <c r="I43" s="15" t="s">
        <v>80</v>
      </c>
      <c r="J43" s="14" t="s">
        <v>58</v>
      </c>
      <c r="K43" s="12" t="s">
        <v>200</v>
      </c>
      <c r="L43" s="12" t="s">
        <v>60</v>
      </c>
      <c r="M43" s="12" t="s">
        <v>60</v>
      </c>
    </row>
    <row r="44" spans="1:13" x14ac:dyDescent="0.25">
      <c r="A44" s="11" t="s">
        <v>318</v>
      </c>
      <c r="B44" s="12" t="s">
        <v>284</v>
      </c>
      <c r="C44" s="12">
        <v>7</v>
      </c>
      <c r="D44" s="12" t="s">
        <v>319</v>
      </c>
      <c r="E44" s="12" t="s">
        <v>320</v>
      </c>
      <c r="F44" s="12" t="s">
        <v>321</v>
      </c>
      <c r="G44" s="12" t="s">
        <v>322</v>
      </c>
      <c r="H44" s="12" t="s">
        <v>218</v>
      </c>
      <c r="I44" s="15" t="s">
        <v>80</v>
      </c>
      <c r="J44" s="16" t="s">
        <v>87</v>
      </c>
      <c r="K44" s="12" t="s">
        <v>200</v>
      </c>
      <c r="L44" s="12" t="s">
        <v>60</v>
      </c>
      <c r="M44" s="12" t="s">
        <v>60</v>
      </c>
    </row>
    <row r="45" spans="1:13" x14ac:dyDescent="0.25">
      <c r="A45" s="11" t="s">
        <v>323</v>
      </c>
      <c r="B45" s="12" t="s">
        <v>324</v>
      </c>
      <c r="C45" s="12">
        <v>1</v>
      </c>
      <c r="D45" s="12" t="s">
        <v>325</v>
      </c>
      <c r="E45" s="12" t="s">
        <v>326</v>
      </c>
      <c r="F45" s="12" t="s">
        <v>327</v>
      </c>
      <c r="G45" s="12" t="s">
        <v>328</v>
      </c>
      <c r="H45" s="12" t="s">
        <v>329</v>
      </c>
      <c r="I45" s="15" t="s">
        <v>80</v>
      </c>
      <c r="J45" s="14" t="s">
        <v>58</v>
      </c>
      <c r="K45" s="12" t="s">
        <v>330</v>
      </c>
      <c r="L45" s="12" t="s">
        <v>60</v>
      </c>
      <c r="M45" s="12" t="s">
        <v>331</v>
      </c>
    </row>
    <row r="46" spans="1:13" x14ac:dyDescent="0.25">
      <c r="A46" s="11" t="s">
        <v>332</v>
      </c>
      <c r="B46" s="12" t="s">
        <v>324</v>
      </c>
      <c r="C46" s="12">
        <v>2</v>
      </c>
      <c r="D46" s="12" t="s">
        <v>333</v>
      </c>
      <c r="E46" s="12" t="s">
        <v>334</v>
      </c>
      <c r="F46" s="12" t="s">
        <v>335</v>
      </c>
      <c r="G46" s="12" t="s">
        <v>336</v>
      </c>
      <c r="H46" s="12" t="s">
        <v>218</v>
      </c>
      <c r="I46" s="15" t="s">
        <v>80</v>
      </c>
      <c r="J46" s="14" t="s">
        <v>58</v>
      </c>
      <c r="K46" s="12" t="s">
        <v>330</v>
      </c>
      <c r="L46" s="12" t="s">
        <v>60</v>
      </c>
      <c r="M46" s="12" t="s">
        <v>60</v>
      </c>
    </row>
    <row r="47" spans="1:13" x14ac:dyDescent="0.25">
      <c r="A47" s="11" t="s">
        <v>337</v>
      </c>
      <c r="B47" s="12" t="s">
        <v>324</v>
      </c>
      <c r="C47" s="12">
        <v>3</v>
      </c>
      <c r="D47" s="12" t="s">
        <v>338</v>
      </c>
      <c r="E47" s="12" t="s">
        <v>339</v>
      </c>
      <c r="F47" s="12" t="s">
        <v>340</v>
      </c>
      <c r="G47" s="12" t="s">
        <v>341</v>
      </c>
      <c r="H47" s="12" t="s">
        <v>342</v>
      </c>
      <c r="I47" s="13" t="s">
        <v>57</v>
      </c>
      <c r="J47" s="14" t="s">
        <v>58</v>
      </c>
      <c r="K47" s="12" t="s">
        <v>343</v>
      </c>
      <c r="L47" s="12" t="s">
        <v>60</v>
      </c>
      <c r="M47" s="12" t="s">
        <v>60</v>
      </c>
    </row>
    <row r="48" spans="1:13" x14ac:dyDescent="0.25">
      <c r="A48" s="11" t="s">
        <v>344</v>
      </c>
      <c r="B48" s="12" t="s">
        <v>345</v>
      </c>
      <c r="C48" s="12">
        <v>1</v>
      </c>
      <c r="D48" s="12" t="s">
        <v>346</v>
      </c>
      <c r="E48" s="12" t="s">
        <v>347</v>
      </c>
      <c r="F48" s="12" t="s">
        <v>348</v>
      </c>
      <c r="G48" s="12" t="s">
        <v>328</v>
      </c>
      <c r="H48" s="12" t="s">
        <v>349</v>
      </c>
      <c r="I48" s="15" t="s">
        <v>80</v>
      </c>
      <c r="J48" s="16" t="s">
        <v>87</v>
      </c>
      <c r="K48" s="12" t="s">
        <v>200</v>
      </c>
      <c r="L48" s="12" t="s">
        <v>60</v>
      </c>
      <c r="M48" s="12" t="s">
        <v>60</v>
      </c>
    </row>
    <row r="49" spans="1:13" x14ac:dyDescent="0.25">
      <c r="A49" s="11" t="s">
        <v>350</v>
      </c>
      <c r="B49" s="12" t="s">
        <v>345</v>
      </c>
      <c r="C49" s="12">
        <v>2</v>
      </c>
      <c r="D49" s="12" t="s">
        <v>351</v>
      </c>
      <c r="E49" s="12" t="s">
        <v>352</v>
      </c>
      <c r="F49" s="12" t="s">
        <v>353</v>
      </c>
      <c r="G49" s="12" t="s">
        <v>354</v>
      </c>
      <c r="H49" s="12" t="s">
        <v>218</v>
      </c>
      <c r="I49" s="15" t="s">
        <v>80</v>
      </c>
      <c r="J49" s="16" t="s">
        <v>87</v>
      </c>
      <c r="K49" s="12" t="s">
        <v>200</v>
      </c>
      <c r="L49" s="12" t="s">
        <v>60</v>
      </c>
      <c r="M49" s="12" t="s">
        <v>60</v>
      </c>
    </row>
    <row r="50" spans="1:13" x14ac:dyDescent="0.25">
      <c r="A50" s="11" t="s">
        <v>355</v>
      </c>
      <c r="B50" s="12" t="s">
        <v>345</v>
      </c>
      <c r="C50" s="12">
        <v>3</v>
      </c>
      <c r="D50" s="12" t="s">
        <v>356</v>
      </c>
      <c r="E50" s="12" t="s">
        <v>357</v>
      </c>
      <c r="F50" s="12" t="s">
        <v>358</v>
      </c>
      <c r="G50" s="12" t="s">
        <v>359</v>
      </c>
      <c r="H50" s="12" t="s">
        <v>218</v>
      </c>
      <c r="I50" s="15" t="s">
        <v>80</v>
      </c>
      <c r="J50" s="16" t="s">
        <v>87</v>
      </c>
      <c r="K50" s="12" t="s">
        <v>200</v>
      </c>
      <c r="L50" s="12" t="s">
        <v>60</v>
      </c>
      <c r="M50" s="12" t="s">
        <v>60</v>
      </c>
    </row>
    <row r="51" spans="1:13" x14ac:dyDescent="0.25">
      <c r="A51" s="11" t="s">
        <v>360</v>
      </c>
      <c r="B51" s="12" t="s">
        <v>361</v>
      </c>
      <c r="C51" s="12">
        <v>1</v>
      </c>
      <c r="D51" s="12" t="s">
        <v>362</v>
      </c>
      <c r="E51" s="12" t="s">
        <v>363</v>
      </c>
      <c r="F51" s="12" t="s">
        <v>364</v>
      </c>
      <c r="G51" s="12" t="s">
        <v>365</v>
      </c>
      <c r="H51" s="12" t="s">
        <v>366</v>
      </c>
      <c r="I51" s="13" t="s">
        <v>57</v>
      </c>
      <c r="J51" s="14" t="s">
        <v>58</v>
      </c>
      <c r="K51" s="12" t="s">
        <v>200</v>
      </c>
      <c r="L51" s="12" t="s">
        <v>60</v>
      </c>
      <c r="M51" s="12" t="s">
        <v>60</v>
      </c>
    </row>
    <row r="52" spans="1:13" x14ac:dyDescent="0.25">
      <c r="A52" s="11" t="s">
        <v>367</v>
      </c>
      <c r="B52" s="12" t="s">
        <v>361</v>
      </c>
      <c r="C52" s="12">
        <v>2</v>
      </c>
      <c r="D52" s="12" t="s">
        <v>368</v>
      </c>
      <c r="E52" s="12" t="s">
        <v>369</v>
      </c>
      <c r="F52" s="12" t="s">
        <v>370</v>
      </c>
      <c r="G52" s="12" t="s">
        <v>371</v>
      </c>
      <c r="H52" s="12" t="s">
        <v>372</v>
      </c>
      <c r="I52" s="13" t="s">
        <v>57</v>
      </c>
      <c r="J52" s="14" t="s">
        <v>58</v>
      </c>
      <c r="K52" s="12" t="s">
        <v>200</v>
      </c>
      <c r="L52" s="12" t="s">
        <v>60</v>
      </c>
      <c r="M52" s="12" t="s">
        <v>60</v>
      </c>
    </row>
    <row r="53" spans="1:13" x14ac:dyDescent="0.25">
      <c r="A53" s="11" t="s">
        <v>373</v>
      </c>
      <c r="B53" s="12" t="s">
        <v>361</v>
      </c>
      <c r="C53" s="12">
        <v>3</v>
      </c>
      <c r="D53" s="12" t="s">
        <v>374</v>
      </c>
      <c r="E53" s="12" t="s">
        <v>375</v>
      </c>
      <c r="F53" s="12" t="s">
        <v>376</v>
      </c>
      <c r="G53" s="12" t="s">
        <v>377</v>
      </c>
      <c r="H53" s="12" t="s">
        <v>378</v>
      </c>
      <c r="I53" s="15" t="s">
        <v>80</v>
      </c>
      <c r="J53" s="16" t="s">
        <v>87</v>
      </c>
      <c r="K53" s="12" t="s">
        <v>200</v>
      </c>
      <c r="L53" s="12" t="s">
        <v>60</v>
      </c>
      <c r="M53" s="12" t="s">
        <v>60</v>
      </c>
    </row>
    <row r="54" spans="1:13" x14ac:dyDescent="0.25">
      <c r="A54" s="11" t="s">
        <v>379</v>
      </c>
      <c r="B54" s="12" t="s">
        <v>361</v>
      </c>
      <c r="C54" s="12">
        <v>4</v>
      </c>
      <c r="D54" s="12" t="s">
        <v>380</v>
      </c>
      <c r="E54" s="12" t="s">
        <v>381</v>
      </c>
      <c r="F54" s="12" t="s">
        <v>382</v>
      </c>
      <c r="G54" s="12" t="s">
        <v>383</v>
      </c>
      <c r="H54" s="12" t="s">
        <v>384</v>
      </c>
      <c r="I54" s="13" t="s">
        <v>57</v>
      </c>
      <c r="J54" s="14" t="s">
        <v>58</v>
      </c>
      <c r="K54" s="12" t="s">
        <v>200</v>
      </c>
      <c r="L54" s="12" t="s">
        <v>60</v>
      </c>
      <c r="M54" s="12" t="s">
        <v>60</v>
      </c>
    </row>
    <row r="55" spans="1:13" x14ac:dyDescent="0.25">
      <c r="A55" s="11" t="s">
        <v>385</v>
      </c>
      <c r="B55" s="12" t="s">
        <v>361</v>
      </c>
      <c r="C55" s="12">
        <v>5</v>
      </c>
      <c r="D55" s="12" t="s">
        <v>386</v>
      </c>
      <c r="E55" s="12" t="s">
        <v>387</v>
      </c>
      <c r="F55" s="12" t="s">
        <v>388</v>
      </c>
      <c r="G55" s="12" t="s">
        <v>389</v>
      </c>
      <c r="H55" s="12" t="s">
        <v>390</v>
      </c>
      <c r="I55" s="13" t="s">
        <v>57</v>
      </c>
      <c r="J55" s="14" t="s">
        <v>58</v>
      </c>
      <c r="K55" s="12" t="s">
        <v>160</v>
      </c>
      <c r="L55" s="12" t="s">
        <v>60</v>
      </c>
      <c r="M55" s="12" t="s">
        <v>60</v>
      </c>
    </row>
    <row r="56" spans="1:13" x14ac:dyDescent="0.25">
      <c r="A56" s="11" t="s">
        <v>391</v>
      </c>
      <c r="B56" s="12" t="s">
        <v>392</v>
      </c>
      <c r="C56" s="12">
        <v>1</v>
      </c>
      <c r="D56" s="12" t="s">
        <v>393</v>
      </c>
      <c r="E56" s="12" t="s">
        <v>394</v>
      </c>
      <c r="F56" s="12" t="s">
        <v>395</v>
      </c>
      <c r="G56" s="12" t="s">
        <v>396</v>
      </c>
      <c r="H56" s="12" t="s">
        <v>397</v>
      </c>
      <c r="I56" s="13" t="s">
        <v>57</v>
      </c>
      <c r="J56" s="14" t="s">
        <v>58</v>
      </c>
      <c r="K56" s="12" t="s">
        <v>160</v>
      </c>
      <c r="L56" s="12" t="s">
        <v>60</v>
      </c>
      <c r="M56" s="12" t="s">
        <v>398</v>
      </c>
    </row>
    <row r="57" spans="1:13" x14ac:dyDescent="0.25">
      <c r="A57" s="11" t="s">
        <v>399</v>
      </c>
      <c r="B57" s="12" t="s">
        <v>392</v>
      </c>
      <c r="C57" s="12">
        <v>2</v>
      </c>
      <c r="D57" s="12" t="s">
        <v>400</v>
      </c>
      <c r="E57" s="12" t="s">
        <v>401</v>
      </c>
      <c r="F57" s="12" t="s">
        <v>402</v>
      </c>
      <c r="G57" s="12" t="s">
        <v>403</v>
      </c>
      <c r="H57" s="12" t="s">
        <v>404</v>
      </c>
      <c r="I57" s="13" t="s">
        <v>57</v>
      </c>
      <c r="J57" s="14" t="s">
        <v>58</v>
      </c>
      <c r="K57" s="12" t="s">
        <v>160</v>
      </c>
      <c r="L57" s="12" t="s">
        <v>60</v>
      </c>
      <c r="M57" s="12" t="s">
        <v>60</v>
      </c>
    </row>
    <row r="58" spans="1:13" x14ac:dyDescent="0.25">
      <c r="A58" s="11" t="s">
        <v>405</v>
      </c>
      <c r="B58" s="12" t="s">
        <v>392</v>
      </c>
      <c r="C58" s="12">
        <v>3</v>
      </c>
      <c r="D58" s="12" t="s">
        <v>406</v>
      </c>
      <c r="E58" s="12" t="s">
        <v>407</v>
      </c>
      <c r="F58" s="12" t="s">
        <v>408</v>
      </c>
      <c r="G58" s="12" t="s">
        <v>409</v>
      </c>
      <c r="H58" s="12" t="s">
        <v>410</v>
      </c>
      <c r="I58" s="13" t="s">
        <v>57</v>
      </c>
      <c r="J58" s="14" t="s">
        <v>58</v>
      </c>
      <c r="K58" s="12" t="s">
        <v>160</v>
      </c>
      <c r="L58" s="12" t="s">
        <v>60</v>
      </c>
      <c r="M58" s="12" t="s">
        <v>60</v>
      </c>
    </row>
    <row r="59" spans="1:13" x14ac:dyDescent="0.25">
      <c r="A59" s="11" t="s">
        <v>411</v>
      </c>
      <c r="B59" s="12" t="s">
        <v>392</v>
      </c>
      <c r="C59" s="12">
        <v>4</v>
      </c>
      <c r="D59" s="12" t="s">
        <v>412</v>
      </c>
      <c r="E59" s="12" t="s">
        <v>413</v>
      </c>
      <c r="F59" s="12" t="s">
        <v>414</v>
      </c>
      <c r="G59" s="12" t="s">
        <v>415</v>
      </c>
      <c r="H59" s="12" t="s">
        <v>416</v>
      </c>
      <c r="I59" s="15" t="s">
        <v>80</v>
      </c>
      <c r="J59" s="14" t="s">
        <v>58</v>
      </c>
      <c r="K59" s="12" t="s">
        <v>160</v>
      </c>
      <c r="L59" s="12" t="s">
        <v>60</v>
      </c>
      <c r="M59" s="12" t="s">
        <v>60</v>
      </c>
    </row>
    <row r="60" spans="1:13" x14ac:dyDescent="0.25">
      <c r="A60" s="11" t="s">
        <v>417</v>
      </c>
      <c r="B60" s="12" t="s">
        <v>392</v>
      </c>
      <c r="C60" s="12">
        <v>5</v>
      </c>
      <c r="D60" s="12" t="s">
        <v>418</v>
      </c>
      <c r="E60" s="12" t="s">
        <v>419</v>
      </c>
      <c r="F60" s="12" t="s">
        <v>420</v>
      </c>
      <c r="G60" s="12" t="s">
        <v>421</v>
      </c>
      <c r="H60" s="12" t="s">
        <v>422</v>
      </c>
      <c r="I60" s="13" t="s">
        <v>57</v>
      </c>
      <c r="J60" s="14" t="s">
        <v>58</v>
      </c>
      <c r="K60" s="12" t="s">
        <v>160</v>
      </c>
      <c r="L60" s="18" t="s">
        <v>423</v>
      </c>
      <c r="M60" s="12" t="s">
        <v>424</v>
      </c>
    </row>
    <row r="61" spans="1:13" x14ac:dyDescent="0.25">
      <c r="A61" s="11" t="s">
        <v>425</v>
      </c>
      <c r="B61" s="12" t="s">
        <v>392</v>
      </c>
      <c r="C61" s="12">
        <v>6</v>
      </c>
      <c r="D61" s="12" t="s">
        <v>426</v>
      </c>
      <c r="E61" s="12" t="s">
        <v>427</v>
      </c>
      <c r="F61" s="12" t="s">
        <v>428</v>
      </c>
      <c r="G61" s="12" t="s">
        <v>429</v>
      </c>
      <c r="H61" s="12" t="s">
        <v>430</v>
      </c>
      <c r="I61" s="13" t="s">
        <v>57</v>
      </c>
      <c r="J61" s="14" t="s">
        <v>58</v>
      </c>
      <c r="K61" s="12" t="s">
        <v>160</v>
      </c>
      <c r="L61" s="12" t="s">
        <v>60</v>
      </c>
      <c r="M61" s="12" t="s">
        <v>60</v>
      </c>
    </row>
    <row r="62" spans="1:13" x14ac:dyDescent="0.25">
      <c r="A62" s="11" t="s">
        <v>431</v>
      </c>
      <c r="B62" s="12" t="s">
        <v>392</v>
      </c>
      <c r="C62" s="12">
        <v>7</v>
      </c>
      <c r="D62" s="12" t="s">
        <v>432</v>
      </c>
      <c r="E62" s="12" t="s">
        <v>433</v>
      </c>
      <c r="F62" s="12" t="s">
        <v>434</v>
      </c>
      <c r="G62" s="12" t="s">
        <v>435</v>
      </c>
      <c r="H62" s="12" t="s">
        <v>436</v>
      </c>
      <c r="I62" s="13" t="s">
        <v>57</v>
      </c>
      <c r="J62" s="14" t="s">
        <v>58</v>
      </c>
      <c r="K62" s="12" t="s">
        <v>160</v>
      </c>
      <c r="L62" s="12" t="s">
        <v>60</v>
      </c>
      <c r="M62" s="12" t="s">
        <v>437</v>
      </c>
    </row>
    <row r="63" spans="1:13" x14ac:dyDescent="0.25">
      <c r="A63" s="11" t="s">
        <v>438</v>
      </c>
      <c r="B63" s="12" t="s">
        <v>392</v>
      </c>
      <c r="C63" s="12">
        <v>8</v>
      </c>
      <c r="D63" s="12" t="s">
        <v>439</v>
      </c>
      <c r="E63" s="12" t="s">
        <v>270</v>
      </c>
      <c r="F63" s="12" t="s">
        <v>440</v>
      </c>
      <c r="G63" s="12" t="s">
        <v>441</v>
      </c>
      <c r="H63" s="12" t="s">
        <v>442</v>
      </c>
      <c r="I63" s="20" t="s">
        <v>274</v>
      </c>
      <c r="J63" s="14" t="s">
        <v>58</v>
      </c>
      <c r="K63" s="12" t="s">
        <v>160</v>
      </c>
      <c r="L63" s="12" t="s">
        <v>60</v>
      </c>
      <c r="M63" s="12" t="s">
        <v>443</v>
      </c>
    </row>
    <row r="64" spans="1:13" x14ac:dyDescent="0.25">
      <c r="A64" s="11" t="s">
        <v>444</v>
      </c>
      <c r="B64" s="12" t="s">
        <v>392</v>
      </c>
      <c r="C64" s="12">
        <v>9</v>
      </c>
      <c r="D64" s="12" t="s">
        <v>445</v>
      </c>
      <c r="E64" s="12" t="s">
        <v>446</v>
      </c>
      <c r="F64" s="12" t="s">
        <v>447</v>
      </c>
      <c r="G64" s="12" t="s">
        <v>448</v>
      </c>
      <c r="H64" s="12" t="s">
        <v>449</v>
      </c>
      <c r="I64" s="13" t="s">
        <v>57</v>
      </c>
      <c r="J64" s="16" t="s">
        <v>87</v>
      </c>
      <c r="K64" s="12" t="s">
        <v>160</v>
      </c>
      <c r="L64" s="12" t="s">
        <v>60</v>
      </c>
      <c r="M64" s="12" t="s">
        <v>60</v>
      </c>
    </row>
    <row r="65" spans="1:13" x14ac:dyDescent="0.25">
      <c r="A65" s="11" t="s">
        <v>450</v>
      </c>
      <c r="B65" s="12" t="s">
        <v>392</v>
      </c>
      <c r="C65" s="12">
        <v>10</v>
      </c>
      <c r="D65" s="12" t="s">
        <v>451</v>
      </c>
      <c r="E65" s="12" t="s">
        <v>452</v>
      </c>
      <c r="F65" s="12" t="s">
        <v>453</v>
      </c>
      <c r="G65" s="12" t="s">
        <v>454</v>
      </c>
      <c r="H65" s="12" t="s">
        <v>455</v>
      </c>
      <c r="I65" s="15" t="s">
        <v>80</v>
      </c>
      <c r="J65" s="19" t="s">
        <v>135</v>
      </c>
      <c r="K65" s="12" t="s">
        <v>160</v>
      </c>
      <c r="L65" s="12" t="s">
        <v>60</v>
      </c>
      <c r="M65" s="12" t="s">
        <v>60</v>
      </c>
    </row>
    <row r="66" spans="1:13" x14ac:dyDescent="0.25">
      <c r="A66" s="11" t="s">
        <v>456</v>
      </c>
      <c r="B66" s="12" t="s">
        <v>457</v>
      </c>
      <c r="C66" s="12">
        <v>1</v>
      </c>
      <c r="D66" s="12" t="s">
        <v>458</v>
      </c>
      <c r="E66" s="12" t="s">
        <v>459</v>
      </c>
      <c r="F66" s="12" t="s">
        <v>460</v>
      </c>
      <c r="G66" s="12" t="s">
        <v>461</v>
      </c>
      <c r="H66" s="12" t="s">
        <v>462</v>
      </c>
      <c r="I66" s="13" t="s">
        <v>57</v>
      </c>
      <c r="J66" s="14" t="s">
        <v>58</v>
      </c>
      <c r="K66" s="12" t="s">
        <v>463</v>
      </c>
      <c r="L66" s="12" t="s">
        <v>60</v>
      </c>
      <c r="M66" s="12" t="s">
        <v>60</v>
      </c>
    </row>
    <row r="67" spans="1:13" x14ac:dyDescent="0.25">
      <c r="A67" s="11" t="s">
        <v>464</v>
      </c>
      <c r="B67" s="12" t="s">
        <v>457</v>
      </c>
      <c r="C67" s="12">
        <v>2</v>
      </c>
      <c r="D67" s="12" t="s">
        <v>465</v>
      </c>
      <c r="E67" s="12" t="s">
        <v>466</v>
      </c>
      <c r="F67" s="12" t="s">
        <v>467</v>
      </c>
      <c r="G67" s="12" t="s">
        <v>468</v>
      </c>
      <c r="H67" s="12" t="s">
        <v>469</v>
      </c>
      <c r="I67" s="13" t="s">
        <v>57</v>
      </c>
      <c r="J67" s="14" t="s">
        <v>58</v>
      </c>
      <c r="K67" s="12" t="s">
        <v>463</v>
      </c>
      <c r="L67" s="12" t="s">
        <v>60</v>
      </c>
      <c r="M67" s="12" t="s">
        <v>60</v>
      </c>
    </row>
    <row r="68" spans="1:13" x14ac:dyDescent="0.25">
      <c r="A68" s="11" t="s">
        <v>470</v>
      </c>
      <c r="B68" s="12" t="s">
        <v>457</v>
      </c>
      <c r="C68" s="12">
        <v>3</v>
      </c>
      <c r="D68" s="12" t="s">
        <v>471</v>
      </c>
      <c r="E68" s="12" t="s">
        <v>472</v>
      </c>
      <c r="F68" s="12" t="s">
        <v>473</v>
      </c>
      <c r="G68" s="12" t="s">
        <v>474</v>
      </c>
      <c r="H68" s="12" t="s">
        <v>475</v>
      </c>
      <c r="I68" s="17" t="s">
        <v>126</v>
      </c>
      <c r="J68" s="14" t="s">
        <v>58</v>
      </c>
      <c r="K68" s="12" t="s">
        <v>463</v>
      </c>
      <c r="L68" s="18" t="s">
        <v>423</v>
      </c>
      <c r="M68" s="12" t="s">
        <v>476</v>
      </c>
    </row>
    <row r="69" spans="1:13" x14ac:dyDescent="0.25">
      <c r="A69" s="11" t="s">
        <v>477</v>
      </c>
      <c r="B69" s="12" t="s">
        <v>457</v>
      </c>
      <c r="C69" s="12">
        <v>4</v>
      </c>
      <c r="D69" s="12" t="s">
        <v>478</v>
      </c>
      <c r="E69" s="12" t="s">
        <v>479</v>
      </c>
      <c r="F69" s="12" t="s">
        <v>480</v>
      </c>
      <c r="G69" s="12" t="s">
        <v>481</v>
      </c>
      <c r="H69" s="12" t="s">
        <v>482</v>
      </c>
      <c r="I69" s="17" t="s">
        <v>126</v>
      </c>
      <c r="J69" s="14" t="s">
        <v>58</v>
      </c>
      <c r="K69" s="12" t="s">
        <v>463</v>
      </c>
      <c r="L69" s="18" t="s">
        <v>423</v>
      </c>
      <c r="M69" s="12" t="s">
        <v>60</v>
      </c>
    </row>
    <row r="70" spans="1:13" x14ac:dyDescent="0.25">
      <c r="A70" s="11" t="s">
        <v>483</v>
      </c>
      <c r="B70" s="12" t="s">
        <v>457</v>
      </c>
      <c r="C70" s="12">
        <v>5</v>
      </c>
      <c r="D70" s="12" t="s">
        <v>484</v>
      </c>
      <c r="E70" s="12" t="s">
        <v>485</v>
      </c>
      <c r="F70" s="12" t="s">
        <v>486</v>
      </c>
      <c r="G70" s="12" t="s">
        <v>487</v>
      </c>
      <c r="H70" s="12" t="s">
        <v>488</v>
      </c>
      <c r="I70" s="13" t="s">
        <v>57</v>
      </c>
      <c r="J70" s="14" t="s">
        <v>58</v>
      </c>
      <c r="K70" s="12" t="s">
        <v>463</v>
      </c>
      <c r="L70" s="12" t="s">
        <v>60</v>
      </c>
      <c r="M70" s="12" t="s">
        <v>60</v>
      </c>
    </row>
    <row r="71" spans="1:13" x14ac:dyDescent="0.25">
      <c r="A71" s="11" t="s">
        <v>489</v>
      </c>
      <c r="B71" s="12" t="s">
        <v>457</v>
      </c>
      <c r="C71" s="12">
        <v>6</v>
      </c>
      <c r="D71" s="12" t="s">
        <v>490</v>
      </c>
      <c r="E71" s="12" t="s">
        <v>491</v>
      </c>
      <c r="F71" s="12" t="s">
        <v>492</v>
      </c>
      <c r="G71" s="12" t="s">
        <v>493</v>
      </c>
      <c r="H71" s="12" t="s">
        <v>494</v>
      </c>
      <c r="I71" s="17" t="s">
        <v>126</v>
      </c>
      <c r="J71" s="14" t="s">
        <v>58</v>
      </c>
      <c r="K71" s="12" t="s">
        <v>463</v>
      </c>
      <c r="L71" s="18" t="s">
        <v>423</v>
      </c>
      <c r="M71" s="12" t="s">
        <v>60</v>
      </c>
    </row>
    <row r="72" spans="1:13" x14ac:dyDescent="0.25">
      <c r="A72" s="11" t="s">
        <v>495</v>
      </c>
      <c r="B72" s="12" t="s">
        <v>457</v>
      </c>
      <c r="C72" s="12">
        <v>7</v>
      </c>
      <c r="D72" s="12" t="s">
        <v>496</v>
      </c>
      <c r="E72" s="12" t="s">
        <v>497</v>
      </c>
      <c r="F72" s="12" t="s">
        <v>498</v>
      </c>
      <c r="G72" s="12" t="s">
        <v>499</v>
      </c>
      <c r="H72" s="12" t="s">
        <v>500</v>
      </c>
      <c r="I72" s="17" t="s">
        <v>126</v>
      </c>
      <c r="J72" s="14" t="s">
        <v>58</v>
      </c>
      <c r="K72" s="12" t="s">
        <v>463</v>
      </c>
      <c r="L72" s="18" t="s">
        <v>423</v>
      </c>
      <c r="M72" s="12" t="s">
        <v>501</v>
      </c>
    </row>
    <row r="73" spans="1:13" x14ac:dyDescent="0.25">
      <c r="A73" s="11" t="s">
        <v>502</v>
      </c>
      <c r="B73" s="12" t="s">
        <v>457</v>
      </c>
      <c r="C73" s="12">
        <v>8</v>
      </c>
      <c r="D73" s="12" t="s">
        <v>503</v>
      </c>
      <c r="E73" s="12" t="s">
        <v>504</v>
      </c>
      <c r="F73" s="12" t="s">
        <v>505</v>
      </c>
      <c r="G73" s="12" t="s">
        <v>506</v>
      </c>
      <c r="H73" s="12" t="s">
        <v>507</v>
      </c>
      <c r="I73" s="15" t="s">
        <v>80</v>
      </c>
      <c r="J73" s="16" t="s">
        <v>87</v>
      </c>
      <c r="K73" s="12" t="s">
        <v>463</v>
      </c>
      <c r="L73" s="12" t="s">
        <v>60</v>
      </c>
      <c r="M73" s="12" t="s">
        <v>60</v>
      </c>
    </row>
    <row r="74" spans="1:13" x14ac:dyDescent="0.25">
      <c r="A74" s="11" t="s">
        <v>508</v>
      </c>
      <c r="B74" s="12" t="s">
        <v>457</v>
      </c>
      <c r="C74" s="12">
        <v>9</v>
      </c>
      <c r="D74" s="12" t="s">
        <v>509</v>
      </c>
      <c r="E74" s="12" t="s">
        <v>510</v>
      </c>
      <c r="F74" s="12" t="s">
        <v>511</v>
      </c>
      <c r="G74" s="12" t="s">
        <v>512</v>
      </c>
      <c r="H74" s="12" t="s">
        <v>513</v>
      </c>
      <c r="I74" s="13" t="s">
        <v>57</v>
      </c>
      <c r="J74" s="14" t="s">
        <v>58</v>
      </c>
      <c r="K74" s="12" t="s">
        <v>463</v>
      </c>
      <c r="L74" s="12" t="s">
        <v>60</v>
      </c>
      <c r="M74" s="12" t="s">
        <v>514</v>
      </c>
    </row>
    <row r="75" spans="1:13" x14ac:dyDescent="0.25">
      <c r="A75" s="11" t="s">
        <v>515</v>
      </c>
      <c r="B75" s="12" t="s">
        <v>457</v>
      </c>
      <c r="C75" s="12">
        <v>10</v>
      </c>
      <c r="D75" s="12" t="s">
        <v>516</v>
      </c>
      <c r="E75" s="12" t="s">
        <v>517</v>
      </c>
      <c r="F75" s="12" t="s">
        <v>518</v>
      </c>
      <c r="G75" s="12" t="s">
        <v>519</v>
      </c>
      <c r="H75" s="12" t="s">
        <v>520</v>
      </c>
      <c r="I75" s="15" t="s">
        <v>80</v>
      </c>
      <c r="J75" s="14" t="s">
        <v>58</v>
      </c>
      <c r="K75" s="12" t="s">
        <v>463</v>
      </c>
      <c r="L75" s="12" t="s">
        <v>60</v>
      </c>
      <c r="M75" s="12" t="s">
        <v>60</v>
      </c>
    </row>
    <row r="76" spans="1:13" x14ac:dyDescent="0.25">
      <c r="A76" s="11" t="s">
        <v>521</v>
      </c>
      <c r="B76" s="12" t="s">
        <v>457</v>
      </c>
      <c r="C76" s="12">
        <v>11</v>
      </c>
      <c r="D76" s="12" t="s">
        <v>522</v>
      </c>
      <c r="E76" s="12" t="s">
        <v>523</v>
      </c>
      <c r="F76" s="12" t="s">
        <v>524</v>
      </c>
      <c r="G76" s="12" t="s">
        <v>525</v>
      </c>
      <c r="H76" s="12" t="s">
        <v>526</v>
      </c>
      <c r="I76" s="17" t="s">
        <v>126</v>
      </c>
      <c r="J76" s="14" t="s">
        <v>58</v>
      </c>
      <c r="K76" s="12" t="s">
        <v>463</v>
      </c>
      <c r="L76" s="18" t="s">
        <v>423</v>
      </c>
      <c r="M76" s="12" t="s">
        <v>527</v>
      </c>
    </row>
    <row r="77" spans="1:13" x14ac:dyDescent="0.25">
      <c r="A77" s="11" t="s">
        <v>528</v>
      </c>
      <c r="B77" s="12" t="s">
        <v>457</v>
      </c>
      <c r="C77" s="12">
        <v>12</v>
      </c>
      <c r="D77" s="12" t="s">
        <v>529</v>
      </c>
      <c r="E77" s="12" t="s">
        <v>530</v>
      </c>
      <c r="F77" s="12" t="s">
        <v>531</v>
      </c>
      <c r="G77" s="12" t="s">
        <v>532</v>
      </c>
      <c r="H77" s="12" t="s">
        <v>533</v>
      </c>
      <c r="I77" s="13" t="s">
        <v>57</v>
      </c>
      <c r="J77" s="16" t="s">
        <v>87</v>
      </c>
      <c r="K77" s="12" t="s">
        <v>463</v>
      </c>
      <c r="L77" s="12" t="s">
        <v>60</v>
      </c>
      <c r="M77" s="12" t="s">
        <v>60</v>
      </c>
    </row>
    <row r="78" spans="1:13" x14ac:dyDescent="0.25">
      <c r="A78" s="11" t="s">
        <v>534</v>
      </c>
      <c r="B78" s="12" t="s">
        <v>457</v>
      </c>
      <c r="C78" s="12">
        <v>13</v>
      </c>
      <c r="D78" s="12" t="s">
        <v>535</v>
      </c>
      <c r="E78" s="12" t="s">
        <v>517</v>
      </c>
      <c r="F78" s="12" t="s">
        <v>536</v>
      </c>
      <c r="G78" s="12" t="s">
        <v>537</v>
      </c>
      <c r="H78" s="12" t="s">
        <v>538</v>
      </c>
      <c r="I78" s="13" t="s">
        <v>57</v>
      </c>
      <c r="J78" s="14" t="s">
        <v>58</v>
      </c>
      <c r="K78" s="12" t="s">
        <v>186</v>
      </c>
      <c r="L78" s="12" t="s">
        <v>60</v>
      </c>
      <c r="M78" s="12" t="s">
        <v>60</v>
      </c>
    </row>
    <row r="79" spans="1:13" x14ac:dyDescent="0.25">
      <c r="A79" s="11" t="s">
        <v>539</v>
      </c>
      <c r="B79" s="12" t="s">
        <v>457</v>
      </c>
      <c r="C79" s="12">
        <v>14</v>
      </c>
      <c r="D79" s="12" t="s">
        <v>540</v>
      </c>
      <c r="E79" s="12" t="s">
        <v>541</v>
      </c>
      <c r="F79" s="12" t="s">
        <v>542</v>
      </c>
      <c r="G79" s="12" t="s">
        <v>543</v>
      </c>
      <c r="H79" s="12" t="s">
        <v>544</v>
      </c>
      <c r="I79" s="15" t="s">
        <v>80</v>
      </c>
      <c r="J79" s="14" t="s">
        <v>58</v>
      </c>
      <c r="K79" s="12" t="s">
        <v>463</v>
      </c>
      <c r="L79" s="12" t="s">
        <v>60</v>
      </c>
      <c r="M79" s="12" t="s">
        <v>60</v>
      </c>
    </row>
    <row r="80" spans="1:13" x14ac:dyDescent="0.25">
      <c r="A80" s="11" t="s">
        <v>545</v>
      </c>
      <c r="B80" s="12" t="s">
        <v>457</v>
      </c>
      <c r="C80" s="12">
        <v>15</v>
      </c>
      <c r="D80" s="12" t="s">
        <v>546</v>
      </c>
      <c r="E80" s="12" t="s">
        <v>547</v>
      </c>
      <c r="F80" s="12" t="s">
        <v>548</v>
      </c>
      <c r="G80" s="12" t="s">
        <v>549</v>
      </c>
      <c r="H80" s="12" t="s">
        <v>550</v>
      </c>
      <c r="I80" s="15" t="s">
        <v>80</v>
      </c>
      <c r="J80" s="14" t="s">
        <v>58</v>
      </c>
      <c r="K80" s="12" t="s">
        <v>463</v>
      </c>
      <c r="L80" s="12" t="s">
        <v>60</v>
      </c>
      <c r="M80" s="12" t="s">
        <v>60</v>
      </c>
    </row>
    <row r="81" spans="1:13" x14ac:dyDescent="0.25">
      <c r="A81" s="11" t="s">
        <v>551</v>
      </c>
      <c r="B81" s="12" t="s">
        <v>457</v>
      </c>
      <c r="C81" s="12">
        <v>16</v>
      </c>
      <c r="D81" s="12" t="s">
        <v>552</v>
      </c>
      <c r="E81" s="12" t="s">
        <v>553</v>
      </c>
      <c r="F81" s="12" t="s">
        <v>554</v>
      </c>
      <c r="G81" s="12" t="s">
        <v>555</v>
      </c>
      <c r="H81" s="12" t="s">
        <v>556</v>
      </c>
      <c r="I81" s="15" t="s">
        <v>80</v>
      </c>
      <c r="J81" s="16" t="s">
        <v>87</v>
      </c>
      <c r="K81" s="12" t="s">
        <v>463</v>
      </c>
      <c r="L81" s="12" t="s">
        <v>60</v>
      </c>
      <c r="M81" s="12" t="s">
        <v>60</v>
      </c>
    </row>
    <row r="82" spans="1:13" x14ac:dyDescent="0.25">
      <c r="A82" s="11" t="s">
        <v>557</v>
      </c>
      <c r="B82" s="12" t="s">
        <v>457</v>
      </c>
      <c r="C82" s="12">
        <v>17</v>
      </c>
      <c r="D82" s="12" t="s">
        <v>558</v>
      </c>
      <c r="E82" s="12" t="s">
        <v>559</v>
      </c>
      <c r="F82" s="12" t="s">
        <v>560</v>
      </c>
      <c r="G82" s="12" t="s">
        <v>561</v>
      </c>
      <c r="H82" s="12" t="s">
        <v>562</v>
      </c>
      <c r="I82" s="15" t="s">
        <v>80</v>
      </c>
      <c r="J82" s="16" t="s">
        <v>87</v>
      </c>
      <c r="K82" s="12" t="s">
        <v>463</v>
      </c>
      <c r="L82" s="12" t="s">
        <v>60</v>
      </c>
      <c r="M82" s="12" t="s">
        <v>60</v>
      </c>
    </row>
    <row r="83" spans="1:13" x14ac:dyDescent="0.25">
      <c r="A83" s="11" t="s">
        <v>563</v>
      </c>
      <c r="B83" s="12" t="s">
        <v>457</v>
      </c>
      <c r="C83" s="12">
        <v>18</v>
      </c>
      <c r="D83" s="12" t="s">
        <v>564</v>
      </c>
      <c r="E83" s="12" t="s">
        <v>565</v>
      </c>
      <c r="F83" s="12" t="s">
        <v>566</v>
      </c>
      <c r="G83" s="12" t="s">
        <v>567</v>
      </c>
      <c r="H83" s="12" t="s">
        <v>568</v>
      </c>
      <c r="I83" s="15" t="s">
        <v>80</v>
      </c>
      <c r="J83" s="14" t="s">
        <v>58</v>
      </c>
      <c r="K83" s="12" t="s">
        <v>463</v>
      </c>
      <c r="L83" s="12" t="s">
        <v>60</v>
      </c>
      <c r="M83" s="12" t="s">
        <v>569</v>
      </c>
    </row>
    <row r="84" spans="1:13" x14ac:dyDescent="0.25">
      <c r="A84" s="11" t="s">
        <v>570</v>
      </c>
      <c r="B84" s="12" t="s">
        <v>571</v>
      </c>
      <c r="C84" s="12">
        <v>1</v>
      </c>
      <c r="D84" s="12" t="s">
        <v>572</v>
      </c>
      <c r="E84" s="12" t="s">
        <v>573</v>
      </c>
      <c r="F84" s="12" t="s">
        <v>574</v>
      </c>
      <c r="G84" s="12" t="s">
        <v>575</v>
      </c>
      <c r="H84" s="12" t="s">
        <v>576</v>
      </c>
      <c r="I84" s="15" t="s">
        <v>80</v>
      </c>
      <c r="J84" s="14" t="s">
        <v>58</v>
      </c>
      <c r="K84" s="12" t="s">
        <v>577</v>
      </c>
      <c r="L84" s="12" t="s">
        <v>60</v>
      </c>
      <c r="M84" s="12" t="s">
        <v>578</v>
      </c>
    </row>
    <row r="85" spans="1:13" x14ac:dyDescent="0.25">
      <c r="A85" s="11" t="s">
        <v>579</v>
      </c>
      <c r="B85" s="12" t="s">
        <v>571</v>
      </c>
      <c r="C85" s="12">
        <v>2</v>
      </c>
      <c r="D85" s="12" t="s">
        <v>580</v>
      </c>
      <c r="E85" s="12" t="s">
        <v>581</v>
      </c>
      <c r="F85" s="12" t="s">
        <v>582</v>
      </c>
      <c r="G85" s="12" t="s">
        <v>583</v>
      </c>
      <c r="H85" s="12" t="s">
        <v>218</v>
      </c>
      <c r="I85" s="15" t="s">
        <v>80</v>
      </c>
      <c r="J85" s="14" t="s">
        <v>58</v>
      </c>
      <c r="K85" s="12" t="s">
        <v>577</v>
      </c>
      <c r="L85" s="12" t="s">
        <v>60</v>
      </c>
      <c r="M85" s="12" t="s">
        <v>60</v>
      </c>
    </row>
    <row r="86" spans="1:13" x14ac:dyDescent="0.25">
      <c r="A86" s="11" t="s">
        <v>584</v>
      </c>
      <c r="B86" s="12" t="s">
        <v>571</v>
      </c>
      <c r="C86" s="12">
        <v>3</v>
      </c>
      <c r="D86" s="12" t="s">
        <v>585</v>
      </c>
      <c r="E86" s="12" t="s">
        <v>586</v>
      </c>
      <c r="F86" s="12" t="s">
        <v>587</v>
      </c>
      <c r="G86" s="12" t="s">
        <v>588</v>
      </c>
      <c r="H86" s="12" t="s">
        <v>218</v>
      </c>
      <c r="I86" s="15" t="s">
        <v>80</v>
      </c>
      <c r="J86" s="14" t="s">
        <v>58</v>
      </c>
      <c r="K86" s="12" t="s">
        <v>577</v>
      </c>
      <c r="L86" s="12" t="s">
        <v>60</v>
      </c>
      <c r="M86" s="12" t="s">
        <v>60</v>
      </c>
    </row>
    <row r="87" spans="1:13" x14ac:dyDescent="0.25">
      <c r="A87" s="11" t="s">
        <v>589</v>
      </c>
      <c r="B87" s="12" t="s">
        <v>571</v>
      </c>
      <c r="C87" s="12">
        <v>4</v>
      </c>
      <c r="D87" s="12" t="s">
        <v>590</v>
      </c>
      <c r="E87" s="12" t="s">
        <v>591</v>
      </c>
      <c r="F87" s="12" t="s">
        <v>592</v>
      </c>
      <c r="G87" s="12" t="s">
        <v>593</v>
      </c>
      <c r="H87" s="12" t="s">
        <v>218</v>
      </c>
      <c r="I87" s="15" t="s">
        <v>80</v>
      </c>
      <c r="J87" s="14" t="s">
        <v>58</v>
      </c>
      <c r="K87" s="12" t="s">
        <v>577</v>
      </c>
      <c r="L87" s="12" t="s">
        <v>60</v>
      </c>
      <c r="M87" s="12" t="s">
        <v>60</v>
      </c>
    </row>
    <row r="88" spans="1:13" x14ac:dyDescent="0.25">
      <c r="A88" s="11" t="s">
        <v>594</v>
      </c>
      <c r="B88" s="12" t="s">
        <v>571</v>
      </c>
      <c r="C88" s="12">
        <v>5</v>
      </c>
      <c r="D88" s="12" t="s">
        <v>595</v>
      </c>
      <c r="E88" s="12" t="s">
        <v>596</v>
      </c>
      <c r="F88" s="12" t="s">
        <v>597</v>
      </c>
      <c r="G88" s="12" t="s">
        <v>598</v>
      </c>
      <c r="H88" s="12" t="s">
        <v>218</v>
      </c>
      <c r="I88" s="15" t="s">
        <v>80</v>
      </c>
      <c r="J88" s="14" t="s">
        <v>58</v>
      </c>
      <c r="K88" s="12" t="s">
        <v>577</v>
      </c>
      <c r="L88" s="12" t="s">
        <v>60</v>
      </c>
      <c r="M88" s="12" t="s">
        <v>60</v>
      </c>
    </row>
    <row r="89" spans="1:13" x14ac:dyDescent="0.25">
      <c r="A89" s="11" t="s">
        <v>599</v>
      </c>
      <c r="B89" s="12" t="s">
        <v>571</v>
      </c>
      <c r="C89" s="12">
        <v>6</v>
      </c>
      <c r="D89" s="12" t="s">
        <v>600</v>
      </c>
      <c r="E89" s="12" t="s">
        <v>601</v>
      </c>
      <c r="F89" s="12" t="s">
        <v>602</v>
      </c>
      <c r="G89" s="12" t="s">
        <v>603</v>
      </c>
      <c r="H89" s="12" t="s">
        <v>218</v>
      </c>
      <c r="I89" s="15" t="s">
        <v>80</v>
      </c>
      <c r="J89" s="14" t="s">
        <v>58</v>
      </c>
      <c r="K89" s="12" t="s">
        <v>577</v>
      </c>
      <c r="L89" s="12" t="s">
        <v>60</v>
      </c>
      <c r="M89" s="12" t="s">
        <v>60</v>
      </c>
    </row>
    <row r="90" spans="1:13" x14ac:dyDescent="0.25">
      <c r="A90" s="11" t="s">
        <v>604</v>
      </c>
      <c r="B90" s="12" t="s">
        <v>571</v>
      </c>
      <c r="C90" s="12">
        <v>7</v>
      </c>
      <c r="D90" s="12" t="s">
        <v>605</v>
      </c>
      <c r="E90" s="12" t="s">
        <v>581</v>
      </c>
      <c r="F90" s="12" t="s">
        <v>606</v>
      </c>
      <c r="G90" s="12" t="s">
        <v>607</v>
      </c>
      <c r="H90" s="12" t="s">
        <v>218</v>
      </c>
      <c r="I90" s="15" t="s">
        <v>80</v>
      </c>
      <c r="J90" s="16" t="s">
        <v>87</v>
      </c>
      <c r="K90" s="12" t="s">
        <v>577</v>
      </c>
      <c r="L90" s="12" t="s">
        <v>60</v>
      </c>
      <c r="M90" s="12" t="s">
        <v>60</v>
      </c>
    </row>
    <row r="91" spans="1:13" x14ac:dyDescent="0.25">
      <c r="A91" s="11" t="s">
        <v>608</v>
      </c>
      <c r="B91" s="12" t="s">
        <v>571</v>
      </c>
      <c r="C91" s="12">
        <v>8</v>
      </c>
      <c r="D91" s="12" t="s">
        <v>609</v>
      </c>
      <c r="E91" s="12" t="s">
        <v>610</v>
      </c>
      <c r="F91" s="12" t="s">
        <v>611</v>
      </c>
      <c r="G91" s="12" t="s">
        <v>612</v>
      </c>
      <c r="H91" s="12" t="s">
        <v>218</v>
      </c>
      <c r="I91" s="15" t="s">
        <v>80</v>
      </c>
      <c r="J91" s="16" t="s">
        <v>87</v>
      </c>
      <c r="K91" s="12" t="s">
        <v>577</v>
      </c>
      <c r="L91" s="12" t="s">
        <v>60</v>
      </c>
      <c r="M91" s="12" t="s">
        <v>60</v>
      </c>
    </row>
    <row r="92" spans="1:13" x14ac:dyDescent="0.25">
      <c r="A92" s="11" t="s">
        <v>613</v>
      </c>
      <c r="B92" s="12" t="s">
        <v>571</v>
      </c>
      <c r="C92" s="12">
        <v>9</v>
      </c>
      <c r="D92" s="12" t="s">
        <v>614</v>
      </c>
      <c r="E92" s="12" t="s">
        <v>615</v>
      </c>
      <c r="F92" s="12" t="s">
        <v>616</v>
      </c>
      <c r="G92" s="12" t="s">
        <v>617</v>
      </c>
      <c r="H92" s="12" t="s">
        <v>218</v>
      </c>
      <c r="I92" s="15" t="s">
        <v>80</v>
      </c>
      <c r="J92" s="16" t="s">
        <v>87</v>
      </c>
      <c r="K92" s="12" t="s">
        <v>577</v>
      </c>
      <c r="L92" s="12" t="s">
        <v>60</v>
      </c>
      <c r="M92" s="12" t="s">
        <v>60</v>
      </c>
    </row>
    <row r="93" spans="1:13" x14ac:dyDescent="0.25">
      <c r="A93" s="11" t="s">
        <v>618</v>
      </c>
      <c r="B93" s="12" t="s">
        <v>619</v>
      </c>
      <c r="C93" s="12">
        <v>1</v>
      </c>
      <c r="D93" s="12" t="s">
        <v>620</v>
      </c>
      <c r="E93" s="12" t="s">
        <v>621</v>
      </c>
      <c r="F93" s="12" t="s">
        <v>622</v>
      </c>
      <c r="G93" s="12" t="s">
        <v>623</v>
      </c>
      <c r="H93" s="12" t="s">
        <v>624</v>
      </c>
      <c r="I93" s="13" t="s">
        <v>57</v>
      </c>
      <c r="J93" s="14" t="s">
        <v>58</v>
      </c>
      <c r="K93" s="12" t="s">
        <v>330</v>
      </c>
      <c r="L93" s="12" t="s">
        <v>60</v>
      </c>
      <c r="M93" s="12" t="s">
        <v>60</v>
      </c>
    </row>
    <row r="94" spans="1:13" x14ac:dyDescent="0.25">
      <c r="A94" s="11" t="s">
        <v>625</v>
      </c>
      <c r="B94" s="12" t="s">
        <v>619</v>
      </c>
      <c r="C94" s="12">
        <v>2</v>
      </c>
      <c r="D94" s="12" t="s">
        <v>626</v>
      </c>
      <c r="E94" s="12" t="s">
        <v>627</v>
      </c>
      <c r="F94" s="12" t="s">
        <v>628</v>
      </c>
      <c r="G94" s="12" t="s">
        <v>629</v>
      </c>
      <c r="H94" s="12" t="s">
        <v>630</v>
      </c>
      <c r="I94" s="15" t="s">
        <v>80</v>
      </c>
      <c r="J94" s="14" t="s">
        <v>58</v>
      </c>
      <c r="K94" s="12" t="s">
        <v>330</v>
      </c>
      <c r="L94" s="12" t="s">
        <v>60</v>
      </c>
      <c r="M94" s="12" t="s">
        <v>60</v>
      </c>
    </row>
    <row r="95" spans="1:13" x14ac:dyDescent="0.25">
      <c r="A95" s="11" t="s">
        <v>631</v>
      </c>
      <c r="B95" s="12" t="s">
        <v>619</v>
      </c>
      <c r="C95" s="12">
        <v>3</v>
      </c>
      <c r="D95" s="12" t="s">
        <v>632</v>
      </c>
      <c r="E95" s="12" t="s">
        <v>633</v>
      </c>
      <c r="F95" s="12" t="s">
        <v>634</v>
      </c>
      <c r="G95" s="12" t="s">
        <v>635</v>
      </c>
      <c r="H95" s="12" t="s">
        <v>636</v>
      </c>
      <c r="I95" s="13" t="s">
        <v>57</v>
      </c>
      <c r="J95" s="14" t="s">
        <v>58</v>
      </c>
      <c r="K95" s="12" t="s">
        <v>330</v>
      </c>
      <c r="L95" s="12" t="s">
        <v>60</v>
      </c>
      <c r="M95" s="12" t="s">
        <v>60</v>
      </c>
    </row>
    <row r="96" spans="1:13" x14ac:dyDescent="0.25">
      <c r="A96" s="11" t="s">
        <v>637</v>
      </c>
      <c r="B96" s="12" t="s">
        <v>619</v>
      </c>
      <c r="C96" s="12">
        <v>4</v>
      </c>
      <c r="D96" s="12" t="s">
        <v>638</v>
      </c>
      <c r="E96" s="12" t="s">
        <v>639</v>
      </c>
      <c r="F96" s="12" t="s">
        <v>640</v>
      </c>
      <c r="G96" s="12" t="s">
        <v>641</v>
      </c>
      <c r="H96" s="12" t="s">
        <v>642</v>
      </c>
      <c r="I96" s="13" t="s">
        <v>57</v>
      </c>
      <c r="J96" s="14" t="s">
        <v>58</v>
      </c>
      <c r="K96" s="12" t="s">
        <v>330</v>
      </c>
      <c r="L96" s="12" t="s">
        <v>60</v>
      </c>
      <c r="M96" s="12" t="s">
        <v>60</v>
      </c>
    </row>
    <row r="97" spans="1:13" x14ac:dyDescent="0.25">
      <c r="A97" s="11" t="s">
        <v>643</v>
      </c>
      <c r="B97" s="12" t="s">
        <v>619</v>
      </c>
      <c r="C97" s="12">
        <v>5</v>
      </c>
      <c r="D97" s="12" t="s">
        <v>644</v>
      </c>
      <c r="E97" s="12" t="s">
        <v>645</v>
      </c>
      <c r="F97" s="12" t="s">
        <v>646</v>
      </c>
      <c r="G97" s="12" t="s">
        <v>647</v>
      </c>
      <c r="H97" s="12" t="s">
        <v>648</v>
      </c>
      <c r="I97" s="13" t="s">
        <v>57</v>
      </c>
      <c r="J97" s="14" t="s">
        <v>58</v>
      </c>
      <c r="K97" s="12" t="s">
        <v>330</v>
      </c>
      <c r="L97" s="12" t="s">
        <v>60</v>
      </c>
      <c r="M97" s="12" t="s">
        <v>60</v>
      </c>
    </row>
    <row r="98" spans="1:13" x14ac:dyDescent="0.25">
      <c r="A98" s="11" t="s">
        <v>649</v>
      </c>
      <c r="B98" s="12" t="s">
        <v>619</v>
      </c>
      <c r="C98" s="12">
        <v>6</v>
      </c>
      <c r="D98" s="12" t="s">
        <v>650</v>
      </c>
      <c r="E98" s="12" t="s">
        <v>651</v>
      </c>
      <c r="F98" s="12" t="s">
        <v>652</v>
      </c>
      <c r="G98" s="12" t="s">
        <v>653</v>
      </c>
      <c r="H98" s="12" t="s">
        <v>654</v>
      </c>
      <c r="I98" s="13" t="s">
        <v>57</v>
      </c>
      <c r="J98" s="14" t="s">
        <v>58</v>
      </c>
      <c r="K98" s="12" t="s">
        <v>330</v>
      </c>
      <c r="L98" s="12" t="s">
        <v>60</v>
      </c>
      <c r="M98" s="12" t="s">
        <v>655</v>
      </c>
    </row>
    <row r="99" spans="1:13" x14ac:dyDescent="0.25">
      <c r="A99" s="11" t="s">
        <v>656</v>
      </c>
      <c r="B99" s="12" t="s">
        <v>619</v>
      </c>
      <c r="C99" s="12">
        <v>7</v>
      </c>
      <c r="D99" s="12" t="s">
        <v>657</v>
      </c>
      <c r="E99" s="12" t="s">
        <v>658</v>
      </c>
      <c r="F99" s="12" t="s">
        <v>659</v>
      </c>
      <c r="G99" s="12" t="s">
        <v>660</v>
      </c>
      <c r="H99" s="12" t="s">
        <v>661</v>
      </c>
      <c r="I99" s="13" t="s">
        <v>57</v>
      </c>
      <c r="J99" s="14" t="s">
        <v>58</v>
      </c>
      <c r="K99" s="12" t="s">
        <v>330</v>
      </c>
      <c r="L99" s="12" t="s">
        <v>60</v>
      </c>
      <c r="M99" s="12" t="s">
        <v>662</v>
      </c>
    </row>
    <row r="100" spans="1:13" x14ac:dyDescent="0.25">
      <c r="A100" s="11" t="s">
        <v>663</v>
      </c>
      <c r="B100" s="12" t="s">
        <v>619</v>
      </c>
      <c r="C100" s="12">
        <v>8</v>
      </c>
      <c r="D100" s="12" t="s">
        <v>664</v>
      </c>
      <c r="E100" s="12" t="s">
        <v>665</v>
      </c>
      <c r="F100" s="12" t="s">
        <v>666</v>
      </c>
      <c r="G100" s="12" t="s">
        <v>667</v>
      </c>
      <c r="H100" s="12" t="s">
        <v>668</v>
      </c>
      <c r="I100" s="15" t="s">
        <v>80</v>
      </c>
      <c r="J100" s="16" t="s">
        <v>87</v>
      </c>
      <c r="K100" s="12" t="s">
        <v>330</v>
      </c>
      <c r="L100" s="12" t="s">
        <v>60</v>
      </c>
      <c r="M100" s="12" t="s">
        <v>60</v>
      </c>
    </row>
    <row r="101" spans="1:13" x14ac:dyDescent="0.25">
      <c r="A101" s="11" t="s">
        <v>669</v>
      </c>
      <c r="B101" s="12" t="s">
        <v>619</v>
      </c>
      <c r="C101" s="12">
        <v>9</v>
      </c>
      <c r="D101" s="12" t="s">
        <v>670</v>
      </c>
      <c r="E101" s="12" t="s">
        <v>671</v>
      </c>
      <c r="F101" s="12" t="s">
        <v>672</v>
      </c>
      <c r="G101" s="12" t="s">
        <v>673</v>
      </c>
      <c r="H101" s="12" t="s">
        <v>674</v>
      </c>
      <c r="I101" s="15" t="s">
        <v>80</v>
      </c>
      <c r="J101" s="16" t="s">
        <v>87</v>
      </c>
      <c r="K101" s="12" t="s">
        <v>330</v>
      </c>
      <c r="L101" s="12" t="s">
        <v>60</v>
      </c>
      <c r="M101" s="12" t="s">
        <v>60</v>
      </c>
    </row>
    <row r="102" spans="1:13" x14ac:dyDescent="0.25">
      <c r="A102" s="11" t="s">
        <v>675</v>
      </c>
      <c r="B102" s="12" t="s">
        <v>619</v>
      </c>
      <c r="C102" s="12">
        <v>10</v>
      </c>
      <c r="D102" s="12" t="s">
        <v>676</v>
      </c>
      <c r="E102" s="12" t="s">
        <v>677</v>
      </c>
      <c r="F102" s="12" t="s">
        <v>678</v>
      </c>
      <c r="G102" s="12" t="s">
        <v>679</v>
      </c>
      <c r="H102" s="12" t="s">
        <v>680</v>
      </c>
      <c r="I102" s="13" t="s">
        <v>57</v>
      </c>
      <c r="J102" s="14" t="s">
        <v>58</v>
      </c>
      <c r="K102" s="12" t="s">
        <v>681</v>
      </c>
      <c r="L102" s="12" t="s">
        <v>60</v>
      </c>
      <c r="M102" s="12" t="s">
        <v>682</v>
      </c>
    </row>
    <row r="103" spans="1:13" x14ac:dyDescent="0.25">
      <c r="A103" s="11" t="s">
        <v>683</v>
      </c>
      <c r="B103" s="12" t="s">
        <v>619</v>
      </c>
      <c r="C103" s="12">
        <v>11</v>
      </c>
      <c r="D103" s="12" t="s">
        <v>684</v>
      </c>
      <c r="E103" s="12" t="s">
        <v>685</v>
      </c>
      <c r="F103" s="12" t="s">
        <v>686</v>
      </c>
      <c r="G103" s="12" t="s">
        <v>687</v>
      </c>
      <c r="H103" s="12" t="s">
        <v>688</v>
      </c>
      <c r="I103" s="15" t="s">
        <v>80</v>
      </c>
      <c r="J103" s="14" t="s">
        <v>58</v>
      </c>
      <c r="K103" s="12" t="s">
        <v>330</v>
      </c>
      <c r="L103" s="12" t="s">
        <v>60</v>
      </c>
      <c r="M103" s="12" t="s">
        <v>60</v>
      </c>
    </row>
    <row r="104" spans="1:13" x14ac:dyDescent="0.25">
      <c r="A104" s="11" t="s">
        <v>689</v>
      </c>
      <c r="B104" s="12" t="s">
        <v>619</v>
      </c>
      <c r="C104" s="12">
        <v>12</v>
      </c>
      <c r="D104" s="12" t="s">
        <v>690</v>
      </c>
      <c r="E104" s="12" t="s">
        <v>691</v>
      </c>
      <c r="F104" s="12" t="s">
        <v>692</v>
      </c>
      <c r="G104" s="12" t="s">
        <v>693</v>
      </c>
      <c r="H104" s="12" t="s">
        <v>694</v>
      </c>
      <c r="I104" s="15" t="s">
        <v>80</v>
      </c>
      <c r="J104" s="14" t="s">
        <v>58</v>
      </c>
      <c r="K104" s="12" t="s">
        <v>681</v>
      </c>
      <c r="L104" s="12" t="s">
        <v>60</v>
      </c>
      <c r="M104" s="12" t="s">
        <v>695</v>
      </c>
    </row>
    <row r="105" spans="1:13" x14ac:dyDescent="0.25">
      <c r="A105" s="11" t="s">
        <v>696</v>
      </c>
      <c r="B105" s="12" t="s">
        <v>619</v>
      </c>
      <c r="C105" s="12">
        <v>13</v>
      </c>
      <c r="D105" s="12" t="s">
        <v>697</v>
      </c>
      <c r="E105" s="12" t="s">
        <v>698</v>
      </c>
      <c r="F105" s="12" t="s">
        <v>699</v>
      </c>
      <c r="G105" s="12" t="s">
        <v>700</v>
      </c>
      <c r="H105" s="12" t="s">
        <v>701</v>
      </c>
      <c r="I105" s="15" t="s">
        <v>80</v>
      </c>
      <c r="J105" s="19" t="s">
        <v>135</v>
      </c>
      <c r="K105" s="12" t="s">
        <v>330</v>
      </c>
      <c r="L105" s="12" t="s">
        <v>60</v>
      </c>
      <c r="M105" s="12" t="s">
        <v>60</v>
      </c>
    </row>
    <row r="106" spans="1:13" x14ac:dyDescent="0.25">
      <c r="A106" s="11" t="s">
        <v>702</v>
      </c>
      <c r="B106" s="12" t="s">
        <v>703</v>
      </c>
      <c r="C106" s="12">
        <v>1</v>
      </c>
      <c r="D106" s="12" t="s">
        <v>704</v>
      </c>
      <c r="E106" s="12" t="s">
        <v>705</v>
      </c>
      <c r="F106" s="12" t="s">
        <v>706</v>
      </c>
      <c r="G106" s="12" t="s">
        <v>707</v>
      </c>
      <c r="H106" s="12" t="s">
        <v>708</v>
      </c>
      <c r="I106" s="15" t="s">
        <v>80</v>
      </c>
      <c r="J106" s="16" t="s">
        <v>87</v>
      </c>
      <c r="K106" s="12" t="s">
        <v>173</v>
      </c>
      <c r="L106" s="12" t="s">
        <v>60</v>
      </c>
      <c r="M106" s="12" t="s">
        <v>60</v>
      </c>
    </row>
    <row r="107" spans="1:13" x14ac:dyDescent="0.25">
      <c r="A107" s="11" t="s">
        <v>709</v>
      </c>
      <c r="B107" s="12" t="s">
        <v>703</v>
      </c>
      <c r="C107" s="12">
        <v>2</v>
      </c>
      <c r="D107" s="12" t="s">
        <v>710</v>
      </c>
      <c r="E107" s="12" t="s">
        <v>711</v>
      </c>
      <c r="F107" s="12" t="s">
        <v>712</v>
      </c>
      <c r="G107" s="12" t="s">
        <v>713</v>
      </c>
      <c r="H107" s="12" t="s">
        <v>218</v>
      </c>
      <c r="I107" s="15" t="s">
        <v>80</v>
      </c>
      <c r="J107" s="19" t="s">
        <v>135</v>
      </c>
      <c r="K107" s="12" t="s">
        <v>173</v>
      </c>
      <c r="L107" s="12" t="s">
        <v>60</v>
      </c>
      <c r="M107" s="12" t="s">
        <v>60</v>
      </c>
    </row>
    <row r="108" spans="1:13" x14ac:dyDescent="0.25">
      <c r="A108" s="11" t="s">
        <v>714</v>
      </c>
      <c r="B108" s="12" t="s">
        <v>715</v>
      </c>
      <c r="C108" s="12">
        <v>1</v>
      </c>
      <c r="D108" s="12" t="s">
        <v>716</v>
      </c>
      <c r="E108" s="12" t="s">
        <v>717</v>
      </c>
      <c r="F108" s="12" t="s">
        <v>718</v>
      </c>
      <c r="G108" s="12" t="s">
        <v>719</v>
      </c>
      <c r="H108" s="12" t="s">
        <v>720</v>
      </c>
      <c r="I108" s="13" t="s">
        <v>57</v>
      </c>
      <c r="J108" s="14" t="s">
        <v>58</v>
      </c>
      <c r="K108" s="12" t="s">
        <v>681</v>
      </c>
      <c r="L108" s="12" t="s">
        <v>60</v>
      </c>
      <c r="M108" s="12" t="s">
        <v>60</v>
      </c>
    </row>
    <row r="109" spans="1:13" x14ac:dyDescent="0.25">
      <c r="A109" s="11" t="s">
        <v>721</v>
      </c>
      <c r="B109" s="12" t="s">
        <v>715</v>
      </c>
      <c r="C109" s="12">
        <v>2</v>
      </c>
      <c r="D109" s="12" t="s">
        <v>722</v>
      </c>
      <c r="E109" s="12" t="s">
        <v>723</v>
      </c>
      <c r="F109" s="12" t="s">
        <v>724</v>
      </c>
      <c r="G109" s="12" t="s">
        <v>725</v>
      </c>
      <c r="H109" s="12" t="s">
        <v>726</v>
      </c>
      <c r="I109" s="15" t="s">
        <v>80</v>
      </c>
      <c r="J109" s="14" t="s">
        <v>58</v>
      </c>
      <c r="K109" s="12" t="s">
        <v>681</v>
      </c>
      <c r="L109" s="12" t="s">
        <v>60</v>
      </c>
      <c r="M109" s="12" t="s">
        <v>60</v>
      </c>
    </row>
    <row r="110" spans="1:13" x14ac:dyDescent="0.25">
      <c r="A110" s="11" t="s">
        <v>727</v>
      </c>
      <c r="B110" s="12" t="s">
        <v>715</v>
      </c>
      <c r="C110" s="12">
        <v>3</v>
      </c>
      <c r="D110" s="12" t="s">
        <v>728</v>
      </c>
      <c r="E110" s="12" t="s">
        <v>729</v>
      </c>
      <c r="F110" s="12" t="s">
        <v>730</v>
      </c>
      <c r="G110" s="12" t="s">
        <v>731</v>
      </c>
      <c r="H110" s="12" t="s">
        <v>218</v>
      </c>
      <c r="I110" s="15" t="s">
        <v>80</v>
      </c>
      <c r="J110" s="16" t="s">
        <v>87</v>
      </c>
      <c r="K110" s="12" t="s">
        <v>681</v>
      </c>
      <c r="L110" s="12" t="s">
        <v>60</v>
      </c>
      <c r="M110" s="12" t="s">
        <v>60</v>
      </c>
    </row>
    <row r="111" spans="1:13" x14ac:dyDescent="0.25">
      <c r="A111" s="11" t="s">
        <v>732</v>
      </c>
      <c r="B111" s="12" t="s">
        <v>715</v>
      </c>
      <c r="C111" s="12">
        <v>4</v>
      </c>
      <c r="D111" s="12" t="s">
        <v>733</v>
      </c>
      <c r="E111" s="12" t="s">
        <v>734</v>
      </c>
      <c r="F111" s="12" t="s">
        <v>735</v>
      </c>
      <c r="G111" s="12" t="s">
        <v>736</v>
      </c>
      <c r="H111" s="12" t="s">
        <v>737</v>
      </c>
      <c r="I111" s="15" t="s">
        <v>80</v>
      </c>
      <c r="J111" s="14" t="s">
        <v>58</v>
      </c>
      <c r="K111" s="12" t="s">
        <v>738</v>
      </c>
      <c r="L111" s="12" t="s">
        <v>60</v>
      </c>
      <c r="M111" s="12" t="s">
        <v>60</v>
      </c>
    </row>
    <row r="112" spans="1:13" x14ac:dyDescent="0.25">
      <c r="A112" s="11" t="s">
        <v>739</v>
      </c>
      <c r="B112" s="12" t="s">
        <v>715</v>
      </c>
      <c r="C112" s="12">
        <v>5</v>
      </c>
      <c r="D112" s="12" t="s">
        <v>740</v>
      </c>
      <c r="E112" s="12" t="s">
        <v>741</v>
      </c>
      <c r="F112" s="12" t="s">
        <v>742</v>
      </c>
      <c r="G112" s="12" t="s">
        <v>743</v>
      </c>
      <c r="H112" s="12" t="s">
        <v>218</v>
      </c>
      <c r="I112" s="15" t="s">
        <v>80</v>
      </c>
      <c r="J112" s="16" t="s">
        <v>87</v>
      </c>
      <c r="K112" s="12" t="s">
        <v>738</v>
      </c>
      <c r="L112" s="12" t="s">
        <v>60</v>
      </c>
      <c r="M112" s="12" t="s">
        <v>60</v>
      </c>
    </row>
    <row r="113" spans="1:13" x14ac:dyDescent="0.25">
      <c r="A113" s="11" t="s">
        <v>744</v>
      </c>
      <c r="B113" s="12" t="s">
        <v>715</v>
      </c>
      <c r="C113" s="12">
        <v>6</v>
      </c>
      <c r="D113" s="12" t="s">
        <v>745</v>
      </c>
      <c r="E113" s="12" t="s">
        <v>746</v>
      </c>
      <c r="F113" s="12" t="s">
        <v>747</v>
      </c>
      <c r="G113" s="12" t="s">
        <v>748</v>
      </c>
      <c r="H113" s="12" t="s">
        <v>749</v>
      </c>
      <c r="I113" s="15" t="s">
        <v>80</v>
      </c>
      <c r="J113" s="16" t="s">
        <v>87</v>
      </c>
      <c r="K113" s="12" t="s">
        <v>186</v>
      </c>
      <c r="L113" s="12" t="s">
        <v>60</v>
      </c>
      <c r="M113" s="12" t="s">
        <v>60</v>
      </c>
    </row>
    <row r="114" spans="1:13" x14ac:dyDescent="0.25">
      <c r="A114" s="11" t="s">
        <v>750</v>
      </c>
      <c r="B114" s="12" t="s">
        <v>715</v>
      </c>
      <c r="C114" s="12">
        <v>7</v>
      </c>
      <c r="D114" s="12" t="s">
        <v>751</v>
      </c>
      <c r="E114" s="12" t="s">
        <v>752</v>
      </c>
      <c r="F114" s="12" t="s">
        <v>753</v>
      </c>
      <c r="G114" s="12" t="s">
        <v>754</v>
      </c>
      <c r="H114" s="12" t="s">
        <v>218</v>
      </c>
      <c r="I114" s="15" t="s">
        <v>80</v>
      </c>
      <c r="J114" s="19" t="s">
        <v>135</v>
      </c>
      <c r="K114" s="12" t="s">
        <v>681</v>
      </c>
      <c r="L114" s="12" t="s">
        <v>60</v>
      </c>
      <c r="M114" s="12" t="s">
        <v>60</v>
      </c>
    </row>
    <row r="115" spans="1:13" x14ac:dyDescent="0.25">
      <c r="A115" s="11" t="s">
        <v>755</v>
      </c>
      <c r="B115" s="12" t="s">
        <v>715</v>
      </c>
      <c r="C115" s="12">
        <v>8</v>
      </c>
      <c r="D115" s="12" t="s">
        <v>756</v>
      </c>
      <c r="E115" s="12" t="s">
        <v>757</v>
      </c>
      <c r="F115" s="12" t="s">
        <v>758</v>
      </c>
      <c r="G115" s="12" t="s">
        <v>759</v>
      </c>
      <c r="H115" s="12" t="s">
        <v>760</v>
      </c>
      <c r="I115" s="13" t="s">
        <v>57</v>
      </c>
      <c r="J115" s="14" t="s">
        <v>58</v>
      </c>
      <c r="K115" s="12" t="s">
        <v>681</v>
      </c>
      <c r="L115" s="12" t="s">
        <v>60</v>
      </c>
      <c r="M115" s="12" t="s">
        <v>60</v>
      </c>
    </row>
    <row r="116" spans="1:13" x14ac:dyDescent="0.25">
      <c r="A116" s="11" t="s">
        <v>761</v>
      </c>
      <c r="B116" s="12" t="s">
        <v>715</v>
      </c>
      <c r="C116" s="12">
        <v>9</v>
      </c>
      <c r="D116" s="12" t="s">
        <v>762</v>
      </c>
      <c r="E116" s="12" t="s">
        <v>763</v>
      </c>
      <c r="F116" s="12" t="s">
        <v>764</v>
      </c>
      <c r="G116" s="12" t="s">
        <v>765</v>
      </c>
      <c r="H116" s="12" t="s">
        <v>766</v>
      </c>
      <c r="I116" s="15" t="s">
        <v>80</v>
      </c>
      <c r="J116" s="16" t="s">
        <v>87</v>
      </c>
      <c r="K116" s="12" t="s">
        <v>681</v>
      </c>
      <c r="L116" s="12" t="s">
        <v>60</v>
      </c>
      <c r="M116" s="12" t="s">
        <v>767</v>
      </c>
    </row>
    <row r="117" spans="1:13" x14ac:dyDescent="0.25">
      <c r="A117" s="11" t="s">
        <v>768</v>
      </c>
      <c r="B117" s="12" t="s">
        <v>769</v>
      </c>
      <c r="C117" s="12">
        <v>1</v>
      </c>
      <c r="D117" s="12" t="s">
        <v>770</v>
      </c>
      <c r="E117" s="12" t="s">
        <v>771</v>
      </c>
      <c r="F117" s="12" t="s">
        <v>772</v>
      </c>
      <c r="G117" s="12" t="s">
        <v>773</v>
      </c>
      <c r="H117" s="12" t="s">
        <v>774</v>
      </c>
      <c r="I117" s="13" t="s">
        <v>57</v>
      </c>
      <c r="J117" s="14" t="s">
        <v>58</v>
      </c>
      <c r="K117" s="12" t="s">
        <v>59</v>
      </c>
      <c r="L117" s="12" t="s">
        <v>60</v>
      </c>
      <c r="M117" s="12" t="s">
        <v>60</v>
      </c>
    </row>
    <row r="118" spans="1:13" x14ac:dyDescent="0.25">
      <c r="A118" s="11" t="s">
        <v>775</v>
      </c>
      <c r="B118" s="12" t="s">
        <v>769</v>
      </c>
      <c r="C118" s="12">
        <v>2</v>
      </c>
      <c r="D118" s="12" t="s">
        <v>776</v>
      </c>
      <c r="E118" s="12" t="s">
        <v>777</v>
      </c>
      <c r="F118" s="12" t="s">
        <v>778</v>
      </c>
      <c r="G118" s="12" t="s">
        <v>779</v>
      </c>
      <c r="H118" s="12" t="s">
        <v>218</v>
      </c>
      <c r="I118" s="15" t="s">
        <v>80</v>
      </c>
      <c r="J118" s="14" t="s">
        <v>58</v>
      </c>
      <c r="K118" s="12" t="s">
        <v>186</v>
      </c>
      <c r="L118" s="12" t="s">
        <v>60</v>
      </c>
      <c r="M118" s="12" t="s">
        <v>60</v>
      </c>
    </row>
    <row r="119" spans="1:13" x14ac:dyDescent="0.25">
      <c r="A119" s="11" t="s">
        <v>780</v>
      </c>
      <c r="B119" s="12" t="s">
        <v>769</v>
      </c>
      <c r="C119" s="12">
        <v>3</v>
      </c>
      <c r="D119" s="12" t="s">
        <v>781</v>
      </c>
      <c r="E119" s="12" t="s">
        <v>782</v>
      </c>
      <c r="F119" s="12" t="s">
        <v>783</v>
      </c>
      <c r="G119" s="12" t="s">
        <v>784</v>
      </c>
      <c r="H119" s="12" t="s">
        <v>218</v>
      </c>
      <c r="I119" s="15" t="s">
        <v>80</v>
      </c>
      <c r="J119" s="14" t="s">
        <v>58</v>
      </c>
      <c r="K119" s="12" t="s">
        <v>186</v>
      </c>
      <c r="L119" s="12" t="s">
        <v>60</v>
      </c>
      <c r="M119" s="12" t="s">
        <v>60</v>
      </c>
    </row>
    <row r="120" spans="1:13" x14ac:dyDescent="0.25">
      <c r="A120" s="11" t="s">
        <v>785</v>
      </c>
      <c r="B120" s="12" t="s">
        <v>769</v>
      </c>
      <c r="C120" s="12">
        <v>4</v>
      </c>
      <c r="D120" s="12" t="s">
        <v>786</v>
      </c>
      <c r="E120" s="12" t="s">
        <v>787</v>
      </c>
      <c r="F120" s="12" t="s">
        <v>788</v>
      </c>
      <c r="G120" s="12" t="s">
        <v>789</v>
      </c>
      <c r="H120" s="12" t="s">
        <v>218</v>
      </c>
      <c r="I120" s="15" t="s">
        <v>80</v>
      </c>
      <c r="J120" s="14" t="s">
        <v>58</v>
      </c>
      <c r="K120" s="12" t="s">
        <v>186</v>
      </c>
      <c r="L120" s="12" t="s">
        <v>60</v>
      </c>
      <c r="M120" s="12" t="s">
        <v>60</v>
      </c>
    </row>
    <row r="121" spans="1:13" x14ac:dyDescent="0.25">
      <c r="A121" s="11" t="s">
        <v>790</v>
      </c>
      <c r="B121" s="12" t="s">
        <v>769</v>
      </c>
      <c r="C121" s="12">
        <v>5</v>
      </c>
      <c r="D121" s="12" t="s">
        <v>791</v>
      </c>
      <c r="E121" s="12" t="s">
        <v>792</v>
      </c>
      <c r="F121" s="12" t="s">
        <v>793</v>
      </c>
      <c r="G121" s="12" t="s">
        <v>794</v>
      </c>
      <c r="H121" s="12" t="s">
        <v>795</v>
      </c>
      <c r="I121" s="15" t="s">
        <v>80</v>
      </c>
      <c r="J121" s="14" t="s">
        <v>58</v>
      </c>
      <c r="K121" s="12" t="s">
        <v>186</v>
      </c>
      <c r="L121" s="12" t="s">
        <v>60</v>
      </c>
      <c r="M121" s="12" t="s">
        <v>60</v>
      </c>
    </row>
    <row r="122" spans="1:13" x14ac:dyDescent="0.25">
      <c r="A122" s="11" t="s">
        <v>796</v>
      </c>
      <c r="B122" s="12" t="s">
        <v>769</v>
      </c>
      <c r="C122" s="12">
        <v>6</v>
      </c>
      <c r="D122" s="12" t="s">
        <v>797</v>
      </c>
      <c r="E122" s="12" t="s">
        <v>787</v>
      </c>
      <c r="F122" s="12" t="s">
        <v>798</v>
      </c>
      <c r="G122" s="12" t="s">
        <v>799</v>
      </c>
      <c r="H122" s="12" t="s">
        <v>218</v>
      </c>
      <c r="I122" s="15" t="s">
        <v>80</v>
      </c>
      <c r="J122" s="14" t="s">
        <v>58</v>
      </c>
      <c r="K122" s="12" t="s">
        <v>186</v>
      </c>
      <c r="L122" s="12" t="s">
        <v>60</v>
      </c>
      <c r="M122" s="12" t="s">
        <v>60</v>
      </c>
    </row>
    <row r="123" spans="1:13" x14ac:dyDescent="0.25">
      <c r="A123" s="11" t="s">
        <v>800</v>
      </c>
      <c r="B123" s="12" t="s">
        <v>769</v>
      </c>
      <c r="C123" s="12">
        <v>7</v>
      </c>
      <c r="D123" s="12" t="s">
        <v>801</v>
      </c>
      <c r="E123" s="12" t="s">
        <v>802</v>
      </c>
      <c r="F123" s="12" t="s">
        <v>803</v>
      </c>
      <c r="G123" s="12" t="s">
        <v>804</v>
      </c>
      <c r="H123" s="12" t="s">
        <v>218</v>
      </c>
      <c r="I123" s="15" t="s">
        <v>80</v>
      </c>
      <c r="J123" s="14" t="s">
        <v>58</v>
      </c>
      <c r="K123" s="12" t="s">
        <v>186</v>
      </c>
      <c r="L123" s="12" t="s">
        <v>60</v>
      </c>
      <c r="M123" s="12" t="s">
        <v>805</v>
      </c>
    </row>
    <row r="124" spans="1:13" x14ac:dyDescent="0.25">
      <c r="A124" s="11" t="s">
        <v>806</v>
      </c>
      <c r="B124" s="12" t="s">
        <v>769</v>
      </c>
      <c r="C124" s="12">
        <v>8</v>
      </c>
      <c r="D124" s="12" t="s">
        <v>807</v>
      </c>
      <c r="E124" s="12" t="s">
        <v>808</v>
      </c>
      <c r="F124" s="12" t="s">
        <v>809</v>
      </c>
      <c r="G124" s="12" t="s">
        <v>810</v>
      </c>
      <c r="H124" s="12" t="s">
        <v>811</v>
      </c>
      <c r="I124" s="17" t="s">
        <v>126</v>
      </c>
      <c r="J124" s="14" t="s">
        <v>58</v>
      </c>
      <c r="K124" s="12" t="s">
        <v>186</v>
      </c>
      <c r="L124" s="18" t="s">
        <v>812</v>
      </c>
      <c r="M124" s="12" t="s">
        <v>813</v>
      </c>
    </row>
    <row r="125" spans="1:13" x14ac:dyDescent="0.25">
      <c r="A125" s="11" t="s">
        <v>814</v>
      </c>
      <c r="B125" s="12" t="s">
        <v>815</v>
      </c>
      <c r="C125" s="12">
        <v>1</v>
      </c>
      <c r="D125" s="12" t="s">
        <v>816</v>
      </c>
      <c r="E125" s="12" t="s">
        <v>771</v>
      </c>
      <c r="F125" s="12" t="s">
        <v>817</v>
      </c>
      <c r="G125" s="12" t="s">
        <v>818</v>
      </c>
      <c r="H125" s="12" t="s">
        <v>819</v>
      </c>
      <c r="I125" s="13" t="s">
        <v>57</v>
      </c>
      <c r="J125" s="14" t="s">
        <v>58</v>
      </c>
      <c r="K125" s="12" t="s">
        <v>186</v>
      </c>
      <c r="L125" s="12" t="s">
        <v>60</v>
      </c>
      <c r="M125" s="12" t="s">
        <v>60</v>
      </c>
    </row>
    <row r="126" spans="1:13" x14ac:dyDescent="0.25">
      <c r="A126" s="11" t="s">
        <v>820</v>
      </c>
      <c r="B126" s="12" t="s">
        <v>815</v>
      </c>
      <c r="C126" s="12">
        <v>2</v>
      </c>
      <c r="D126" s="12" t="s">
        <v>821</v>
      </c>
      <c r="E126" s="12" t="s">
        <v>822</v>
      </c>
      <c r="F126" s="12" t="s">
        <v>823</v>
      </c>
      <c r="G126" s="12" t="s">
        <v>824</v>
      </c>
      <c r="H126" s="12" t="s">
        <v>825</v>
      </c>
      <c r="I126" s="17" t="s">
        <v>126</v>
      </c>
      <c r="J126" s="14" t="s">
        <v>58</v>
      </c>
      <c r="K126" s="12" t="s">
        <v>186</v>
      </c>
      <c r="L126" s="18" t="s">
        <v>826</v>
      </c>
      <c r="M126" s="12" t="s">
        <v>827</v>
      </c>
    </row>
    <row r="127" spans="1:13" x14ac:dyDescent="0.25">
      <c r="A127" s="11" t="s">
        <v>828</v>
      </c>
      <c r="B127" s="12" t="s">
        <v>815</v>
      </c>
      <c r="C127" s="12">
        <v>3</v>
      </c>
      <c r="D127" s="12" t="s">
        <v>829</v>
      </c>
      <c r="E127" s="12" t="s">
        <v>830</v>
      </c>
      <c r="F127" s="12" t="s">
        <v>831</v>
      </c>
      <c r="G127" s="12" t="s">
        <v>832</v>
      </c>
      <c r="H127" s="12" t="s">
        <v>833</v>
      </c>
      <c r="I127" s="17" t="s">
        <v>126</v>
      </c>
      <c r="J127" s="16" t="s">
        <v>87</v>
      </c>
      <c r="K127" s="12" t="s">
        <v>186</v>
      </c>
      <c r="L127" s="18" t="s">
        <v>834</v>
      </c>
      <c r="M127" s="12" t="s">
        <v>60</v>
      </c>
    </row>
    <row r="128" spans="1:13" x14ac:dyDescent="0.25">
      <c r="A128" s="11" t="s">
        <v>835</v>
      </c>
      <c r="B128" s="12" t="s">
        <v>815</v>
      </c>
      <c r="C128" s="12">
        <v>4</v>
      </c>
      <c r="D128" s="12" t="s">
        <v>836</v>
      </c>
      <c r="E128" s="12" t="s">
        <v>837</v>
      </c>
      <c r="F128" s="12" t="s">
        <v>838</v>
      </c>
      <c r="G128" s="12" t="s">
        <v>839</v>
      </c>
      <c r="H128" s="12" t="s">
        <v>840</v>
      </c>
      <c r="I128" s="15" t="s">
        <v>80</v>
      </c>
      <c r="J128" s="16" t="s">
        <v>87</v>
      </c>
      <c r="K128" s="12" t="s">
        <v>186</v>
      </c>
      <c r="L128" s="12" t="s">
        <v>60</v>
      </c>
      <c r="M128" s="12" t="s">
        <v>60</v>
      </c>
    </row>
    <row r="129" spans="1:13" x14ac:dyDescent="0.25">
      <c r="A129" s="11" t="s">
        <v>841</v>
      </c>
      <c r="B129" s="12" t="s">
        <v>815</v>
      </c>
      <c r="C129" s="12">
        <v>5</v>
      </c>
      <c r="D129" s="12" t="s">
        <v>842</v>
      </c>
      <c r="E129" s="12" t="s">
        <v>843</v>
      </c>
      <c r="F129" s="12" t="s">
        <v>844</v>
      </c>
      <c r="G129" s="12" t="s">
        <v>845</v>
      </c>
      <c r="H129" s="12" t="s">
        <v>846</v>
      </c>
      <c r="I129" s="13" t="s">
        <v>57</v>
      </c>
      <c r="J129" s="14" t="s">
        <v>58</v>
      </c>
      <c r="K129" s="12" t="s">
        <v>186</v>
      </c>
      <c r="L129" s="12" t="s">
        <v>60</v>
      </c>
      <c r="M129" s="12" t="s">
        <v>60</v>
      </c>
    </row>
    <row r="130" spans="1:13" x14ac:dyDescent="0.25">
      <c r="A130" s="11" t="s">
        <v>847</v>
      </c>
      <c r="B130" s="12" t="s">
        <v>815</v>
      </c>
      <c r="C130" s="12">
        <v>6</v>
      </c>
      <c r="D130" s="12" t="s">
        <v>848</v>
      </c>
      <c r="E130" s="12" t="s">
        <v>849</v>
      </c>
      <c r="F130" s="12" t="s">
        <v>850</v>
      </c>
      <c r="G130" s="12" t="s">
        <v>851</v>
      </c>
      <c r="H130" s="12" t="s">
        <v>852</v>
      </c>
      <c r="I130" s="13" t="s">
        <v>57</v>
      </c>
      <c r="J130" s="16" t="s">
        <v>87</v>
      </c>
      <c r="K130" s="12" t="s">
        <v>186</v>
      </c>
      <c r="L130" s="12" t="s">
        <v>60</v>
      </c>
      <c r="M130" s="12" t="s">
        <v>60</v>
      </c>
    </row>
    <row r="131" spans="1:13" x14ac:dyDescent="0.25">
      <c r="A131" s="11" t="s">
        <v>853</v>
      </c>
      <c r="B131" s="12" t="s">
        <v>854</v>
      </c>
      <c r="C131" s="12">
        <v>1</v>
      </c>
      <c r="D131" s="12" t="s">
        <v>855</v>
      </c>
      <c r="E131" s="12" t="s">
        <v>856</v>
      </c>
      <c r="F131" s="12" t="s">
        <v>857</v>
      </c>
      <c r="G131" s="12" t="s">
        <v>858</v>
      </c>
      <c r="H131" s="12" t="s">
        <v>859</v>
      </c>
      <c r="I131" s="13" t="s">
        <v>57</v>
      </c>
      <c r="J131" s="14" t="s">
        <v>58</v>
      </c>
      <c r="K131" s="12" t="s">
        <v>738</v>
      </c>
      <c r="L131" s="12" t="s">
        <v>60</v>
      </c>
      <c r="M131" s="12" t="s">
        <v>860</v>
      </c>
    </row>
    <row r="132" spans="1:13" x14ac:dyDescent="0.25">
      <c r="A132" s="11" t="s">
        <v>861</v>
      </c>
      <c r="B132" s="12" t="s">
        <v>854</v>
      </c>
      <c r="C132" s="12">
        <v>2</v>
      </c>
      <c r="D132" s="12" t="s">
        <v>862</v>
      </c>
      <c r="E132" s="12" t="s">
        <v>863</v>
      </c>
      <c r="F132" s="12" t="s">
        <v>864</v>
      </c>
      <c r="G132" s="12" t="s">
        <v>865</v>
      </c>
      <c r="H132" s="12" t="s">
        <v>866</v>
      </c>
      <c r="I132" s="15" t="s">
        <v>80</v>
      </c>
      <c r="J132" s="14" t="s">
        <v>58</v>
      </c>
      <c r="K132" s="12" t="s">
        <v>738</v>
      </c>
      <c r="L132" s="12" t="s">
        <v>60</v>
      </c>
      <c r="M132" s="12" t="s">
        <v>60</v>
      </c>
    </row>
    <row r="133" spans="1:13" x14ac:dyDescent="0.25">
      <c r="A133" s="11" t="s">
        <v>867</v>
      </c>
      <c r="B133" s="12" t="s">
        <v>854</v>
      </c>
      <c r="C133" s="12">
        <v>3</v>
      </c>
      <c r="D133" s="12" t="s">
        <v>868</v>
      </c>
      <c r="E133" s="12" t="s">
        <v>869</v>
      </c>
      <c r="F133" s="12" t="s">
        <v>870</v>
      </c>
      <c r="G133" s="12" t="s">
        <v>871</v>
      </c>
      <c r="H133" s="12" t="s">
        <v>872</v>
      </c>
      <c r="I133" s="13" t="s">
        <v>57</v>
      </c>
      <c r="J133" s="16" t="s">
        <v>87</v>
      </c>
      <c r="K133" s="12" t="s">
        <v>738</v>
      </c>
      <c r="L133" s="12" t="s">
        <v>60</v>
      </c>
      <c r="M133" s="12" t="s">
        <v>60</v>
      </c>
    </row>
    <row r="134" spans="1:13" x14ac:dyDescent="0.25">
      <c r="A134" s="11" t="s">
        <v>873</v>
      </c>
      <c r="B134" s="12" t="s">
        <v>854</v>
      </c>
      <c r="C134" s="12">
        <v>4</v>
      </c>
      <c r="D134" s="12" t="s">
        <v>874</v>
      </c>
      <c r="E134" s="12" t="s">
        <v>875</v>
      </c>
      <c r="F134" s="12" t="s">
        <v>876</v>
      </c>
      <c r="G134" s="12" t="s">
        <v>877</v>
      </c>
      <c r="H134" s="12" t="s">
        <v>878</v>
      </c>
      <c r="I134" s="15" t="s">
        <v>80</v>
      </c>
      <c r="J134" s="16" t="s">
        <v>87</v>
      </c>
      <c r="K134" s="12" t="s">
        <v>738</v>
      </c>
      <c r="L134" s="12" t="s">
        <v>60</v>
      </c>
      <c r="M134" s="12" t="s">
        <v>60</v>
      </c>
    </row>
    <row r="135" spans="1:13" x14ac:dyDescent="0.25">
      <c r="A135" s="11" t="s">
        <v>879</v>
      </c>
      <c r="B135" s="12" t="s">
        <v>854</v>
      </c>
      <c r="C135" s="12">
        <v>5</v>
      </c>
      <c r="D135" s="12" t="s">
        <v>880</v>
      </c>
      <c r="E135" s="12" t="s">
        <v>881</v>
      </c>
      <c r="F135" s="12" t="s">
        <v>882</v>
      </c>
      <c r="G135" s="12" t="s">
        <v>883</v>
      </c>
      <c r="H135" s="12" t="s">
        <v>884</v>
      </c>
      <c r="I135" s="15" t="s">
        <v>80</v>
      </c>
      <c r="J135" s="19" t="s">
        <v>135</v>
      </c>
      <c r="K135" s="12" t="s">
        <v>738</v>
      </c>
      <c r="L135" s="12" t="s">
        <v>60</v>
      </c>
      <c r="M135" s="12" t="s">
        <v>60</v>
      </c>
    </row>
    <row r="136" spans="1:13" x14ac:dyDescent="0.25">
      <c r="A136" s="11" t="s">
        <v>885</v>
      </c>
      <c r="B136" s="12" t="s">
        <v>886</v>
      </c>
      <c r="C136" s="12">
        <v>1</v>
      </c>
      <c r="D136" s="12" t="s">
        <v>887</v>
      </c>
      <c r="E136" s="12" t="s">
        <v>888</v>
      </c>
      <c r="F136" s="12" t="s">
        <v>889</v>
      </c>
      <c r="G136" s="12" t="s">
        <v>890</v>
      </c>
      <c r="H136" s="12" t="s">
        <v>218</v>
      </c>
      <c r="I136" s="15" t="s">
        <v>80</v>
      </c>
      <c r="J136" s="16" t="s">
        <v>87</v>
      </c>
      <c r="K136" s="12" t="s">
        <v>186</v>
      </c>
      <c r="L136" s="12" t="s">
        <v>60</v>
      </c>
      <c r="M136" s="12" t="s">
        <v>60</v>
      </c>
    </row>
    <row r="137" spans="1:13" x14ac:dyDescent="0.25">
      <c r="A137" s="11" t="s">
        <v>891</v>
      </c>
      <c r="B137" s="12" t="s">
        <v>886</v>
      </c>
      <c r="C137" s="12">
        <v>2</v>
      </c>
      <c r="D137" s="12" t="s">
        <v>892</v>
      </c>
      <c r="E137" s="12" t="s">
        <v>893</v>
      </c>
      <c r="F137" s="12" t="s">
        <v>894</v>
      </c>
      <c r="G137" s="12" t="s">
        <v>895</v>
      </c>
      <c r="H137" s="12" t="s">
        <v>896</v>
      </c>
      <c r="I137" s="15" t="s">
        <v>80</v>
      </c>
      <c r="J137" s="16" t="s">
        <v>87</v>
      </c>
      <c r="K137" s="12" t="s">
        <v>186</v>
      </c>
      <c r="L137" s="12" t="s">
        <v>60</v>
      </c>
      <c r="M137" s="12" t="s">
        <v>897</v>
      </c>
    </row>
    <row r="138" spans="1:13" x14ac:dyDescent="0.25">
      <c r="A138" s="11" t="s">
        <v>898</v>
      </c>
      <c r="B138" s="12" t="s">
        <v>886</v>
      </c>
      <c r="C138" s="12">
        <v>3</v>
      </c>
      <c r="D138" s="12" t="s">
        <v>899</v>
      </c>
      <c r="E138" s="12" t="s">
        <v>900</v>
      </c>
      <c r="F138" s="12" t="s">
        <v>901</v>
      </c>
      <c r="G138" s="12" t="s">
        <v>902</v>
      </c>
      <c r="H138" s="12" t="s">
        <v>903</v>
      </c>
      <c r="I138" s="15" t="s">
        <v>80</v>
      </c>
      <c r="J138" s="14" t="s">
        <v>58</v>
      </c>
      <c r="K138" s="12" t="s">
        <v>186</v>
      </c>
      <c r="L138" s="12" t="s">
        <v>60</v>
      </c>
      <c r="M138" s="12" t="s">
        <v>904</v>
      </c>
    </row>
    <row r="139" spans="1:13" x14ac:dyDescent="0.25">
      <c r="A139" s="11" t="s">
        <v>905</v>
      </c>
      <c r="B139" s="12" t="s">
        <v>886</v>
      </c>
      <c r="C139" s="12">
        <v>4</v>
      </c>
      <c r="D139" s="12" t="s">
        <v>906</v>
      </c>
      <c r="E139" s="12" t="s">
        <v>907</v>
      </c>
      <c r="F139" s="12" t="s">
        <v>908</v>
      </c>
      <c r="G139" s="12" t="s">
        <v>909</v>
      </c>
      <c r="H139" s="12" t="s">
        <v>910</v>
      </c>
      <c r="I139" s="15" t="s">
        <v>80</v>
      </c>
      <c r="J139" s="14" t="s">
        <v>58</v>
      </c>
      <c r="K139" s="12" t="s">
        <v>59</v>
      </c>
      <c r="L139" s="12" t="s">
        <v>60</v>
      </c>
      <c r="M139" s="12" t="s">
        <v>911</v>
      </c>
    </row>
    <row r="140" spans="1:13" x14ac:dyDescent="0.25">
      <c r="A140" s="11" t="s">
        <v>912</v>
      </c>
      <c r="B140" s="12" t="s">
        <v>913</v>
      </c>
      <c r="C140" s="12">
        <v>1</v>
      </c>
      <c r="D140" s="12" t="s">
        <v>914</v>
      </c>
      <c r="E140" s="12" t="s">
        <v>915</v>
      </c>
      <c r="F140" s="12" t="s">
        <v>916</v>
      </c>
      <c r="G140" s="12" t="s">
        <v>917</v>
      </c>
      <c r="H140" s="12" t="s">
        <v>918</v>
      </c>
      <c r="I140" s="15" t="s">
        <v>80</v>
      </c>
      <c r="J140" s="16" t="s">
        <v>87</v>
      </c>
      <c r="K140" s="12" t="s">
        <v>919</v>
      </c>
      <c r="L140" s="12" t="s">
        <v>60</v>
      </c>
      <c r="M140" s="12" t="s">
        <v>60</v>
      </c>
    </row>
    <row r="141" spans="1:13" x14ac:dyDescent="0.25">
      <c r="A141" s="11" t="s">
        <v>920</v>
      </c>
      <c r="B141" s="12" t="s">
        <v>913</v>
      </c>
      <c r="C141" s="12">
        <v>2</v>
      </c>
      <c r="D141" s="12" t="s">
        <v>921</v>
      </c>
      <c r="E141" s="12" t="s">
        <v>922</v>
      </c>
      <c r="F141" s="12" t="s">
        <v>923</v>
      </c>
      <c r="G141" s="12" t="s">
        <v>924</v>
      </c>
      <c r="H141" s="12" t="s">
        <v>218</v>
      </c>
      <c r="I141" s="15" t="s">
        <v>80</v>
      </c>
      <c r="J141" s="19" t="s">
        <v>135</v>
      </c>
      <c r="K141" s="12" t="s">
        <v>59</v>
      </c>
      <c r="L141" s="12" t="s">
        <v>60</v>
      </c>
      <c r="M141" s="12" t="s">
        <v>60</v>
      </c>
    </row>
    <row r="142" spans="1:13" x14ac:dyDescent="0.25">
      <c r="A142" s="11" t="s">
        <v>925</v>
      </c>
      <c r="B142" s="12" t="s">
        <v>926</v>
      </c>
      <c r="C142" s="12">
        <v>1</v>
      </c>
      <c r="D142" s="12" t="s">
        <v>927</v>
      </c>
      <c r="E142" s="12" t="s">
        <v>928</v>
      </c>
      <c r="F142" s="12" t="s">
        <v>929</v>
      </c>
      <c r="G142" s="12" t="s">
        <v>930</v>
      </c>
      <c r="H142" s="12" t="s">
        <v>931</v>
      </c>
      <c r="I142" s="15" t="s">
        <v>80</v>
      </c>
      <c r="J142" s="16" t="s">
        <v>87</v>
      </c>
      <c r="K142" s="12" t="s">
        <v>59</v>
      </c>
      <c r="L142" s="12" t="s">
        <v>60</v>
      </c>
      <c r="M142" s="12" t="s">
        <v>60</v>
      </c>
    </row>
    <row r="143" spans="1:13" x14ac:dyDescent="0.25">
      <c r="A143" s="11" t="s">
        <v>932</v>
      </c>
      <c r="B143" s="12" t="s">
        <v>926</v>
      </c>
      <c r="C143" s="12">
        <v>2</v>
      </c>
      <c r="D143" s="12" t="s">
        <v>933</v>
      </c>
      <c r="E143" s="12" t="s">
        <v>934</v>
      </c>
      <c r="F143" s="12" t="s">
        <v>935</v>
      </c>
      <c r="G143" s="12" t="s">
        <v>936</v>
      </c>
      <c r="H143" s="12" t="s">
        <v>937</v>
      </c>
      <c r="I143" s="15" t="s">
        <v>80</v>
      </c>
      <c r="J143" s="16" t="s">
        <v>87</v>
      </c>
      <c r="K143" s="12" t="s">
        <v>59</v>
      </c>
      <c r="L143" s="12" t="s">
        <v>60</v>
      </c>
      <c r="M143" s="12" t="s">
        <v>60</v>
      </c>
    </row>
    <row r="144" spans="1:13" x14ac:dyDescent="0.25">
      <c r="A144" s="11" t="s">
        <v>938</v>
      </c>
      <c r="B144" s="12" t="s">
        <v>939</v>
      </c>
      <c r="C144" s="12">
        <v>1</v>
      </c>
      <c r="D144" s="12" t="s">
        <v>940</v>
      </c>
      <c r="E144" s="12" t="s">
        <v>941</v>
      </c>
      <c r="F144" s="12" t="s">
        <v>942</v>
      </c>
      <c r="G144" s="12" t="s">
        <v>943</v>
      </c>
      <c r="H144" s="12" t="s">
        <v>944</v>
      </c>
      <c r="I144" s="17" t="s">
        <v>126</v>
      </c>
      <c r="J144" s="14" t="s">
        <v>58</v>
      </c>
      <c r="K144" s="12" t="s">
        <v>186</v>
      </c>
      <c r="L144" s="18" t="s">
        <v>812</v>
      </c>
      <c r="M144" s="12" t="s">
        <v>945</v>
      </c>
    </row>
    <row r="145" spans="1:13" x14ac:dyDescent="0.25">
      <c r="A145" s="11" t="s">
        <v>946</v>
      </c>
      <c r="B145" s="12" t="s">
        <v>939</v>
      </c>
      <c r="C145" s="12">
        <v>2</v>
      </c>
      <c r="D145" s="12" t="s">
        <v>947</v>
      </c>
      <c r="E145" s="12" t="s">
        <v>948</v>
      </c>
      <c r="F145" s="12" t="s">
        <v>949</v>
      </c>
      <c r="G145" s="12" t="s">
        <v>950</v>
      </c>
      <c r="H145" s="12" t="s">
        <v>951</v>
      </c>
      <c r="I145" s="13" t="s">
        <v>57</v>
      </c>
      <c r="J145" s="14" t="s">
        <v>58</v>
      </c>
      <c r="K145" s="12" t="s">
        <v>59</v>
      </c>
      <c r="L145" s="12" t="s">
        <v>60</v>
      </c>
      <c r="M145" s="12" t="s">
        <v>952</v>
      </c>
    </row>
    <row r="146" spans="1:13" x14ac:dyDescent="0.25">
      <c r="A146" s="11" t="s">
        <v>953</v>
      </c>
      <c r="B146" s="12" t="s">
        <v>939</v>
      </c>
      <c r="C146" s="12">
        <v>3</v>
      </c>
      <c r="D146" s="12" t="s">
        <v>954</v>
      </c>
      <c r="E146" s="12" t="s">
        <v>955</v>
      </c>
      <c r="F146" s="12" t="s">
        <v>956</v>
      </c>
      <c r="G146" s="12" t="s">
        <v>957</v>
      </c>
      <c r="H146" s="12" t="s">
        <v>958</v>
      </c>
      <c r="I146" s="15" t="s">
        <v>80</v>
      </c>
      <c r="J146" s="14" t="s">
        <v>58</v>
      </c>
      <c r="K146" s="12" t="s">
        <v>59</v>
      </c>
      <c r="L146" s="12" t="s">
        <v>60</v>
      </c>
      <c r="M146" s="12" t="s">
        <v>959</v>
      </c>
    </row>
    <row r="147" spans="1:13" x14ac:dyDescent="0.25">
      <c r="A147" s="11" t="s">
        <v>960</v>
      </c>
      <c r="B147" s="12" t="s">
        <v>939</v>
      </c>
      <c r="C147" s="12">
        <v>4</v>
      </c>
      <c r="D147" s="12" t="s">
        <v>961</v>
      </c>
      <c r="E147" s="12" t="s">
        <v>962</v>
      </c>
      <c r="F147" s="12" t="s">
        <v>963</v>
      </c>
      <c r="G147" s="12" t="s">
        <v>964</v>
      </c>
      <c r="H147" s="12" t="s">
        <v>965</v>
      </c>
      <c r="I147" s="15" t="s">
        <v>80</v>
      </c>
      <c r="J147" s="16" t="s">
        <v>87</v>
      </c>
      <c r="K147" s="12" t="s">
        <v>186</v>
      </c>
      <c r="L147" s="12" t="s">
        <v>60</v>
      </c>
      <c r="M147" s="12" t="s">
        <v>966</v>
      </c>
    </row>
    <row r="148" spans="1:13" x14ac:dyDescent="0.25">
      <c r="A148" s="11" t="s">
        <v>967</v>
      </c>
      <c r="B148" s="12" t="s">
        <v>968</v>
      </c>
      <c r="C148" s="12">
        <v>1</v>
      </c>
      <c r="D148" s="12" t="s">
        <v>969</v>
      </c>
      <c r="E148" s="12" t="s">
        <v>970</v>
      </c>
      <c r="F148" s="12" t="s">
        <v>971</v>
      </c>
      <c r="G148" s="12" t="s">
        <v>972</v>
      </c>
      <c r="H148" s="12" t="s">
        <v>973</v>
      </c>
      <c r="I148" s="15" t="s">
        <v>80</v>
      </c>
      <c r="J148" s="19" t="s">
        <v>135</v>
      </c>
      <c r="K148" s="12" t="s">
        <v>59</v>
      </c>
      <c r="L148" s="12" t="s">
        <v>60</v>
      </c>
      <c r="M148" s="12" t="s">
        <v>60</v>
      </c>
    </row>
    <row r="149" spans="1:13" x14ac:dyDescent="0.25">
      <c r="A149" s="11" t="s">
        <v>974</v>
      </c>
      <c r="B149" s="12" t="s">
        <v>968</v>
      </c>
      <c r="C149" s="12">
        <v>2</v>
      </c>
      <c r="D149" s="12" t="s">
        <v>975</v>
      </c>
      <c r="E149" s="12" t="s">
        <v>976</v>
      </c>
      <c r="F149" s="12" t="s">
        <v>977</v>
      </c>
      <c r="G149" s="12" t="s">
        <v>978</v>
      </c>
      <c r="H149" s="12" t="s">
        <v>979</v>
      </c>
      <c r="I149" s="15" t="s">
        <v>80</v>
      </c>
      <c r="J149" s="19" t="s">
        <v>135</v>
      </c>
      <c r="K149" s="12" t="s">
        <v>59</v>
      </c>
      <c r="L149" s="12" t="s">
        <v>60</v>
      </c>
      <c r="M149" s="12" t="s">
        <v>60</v>
      </c>
    </row>
    <row r="150" spans="1:13" x14ac:dyDescent="0.25">
      <c r="A150" s="11" t="s">
        <v>980</v>
      </c>
      <c r="B150" s="12" t="s">
        <v>968</v>
      </c>
      <c r="C150" s="12">
        <v>3</v>
      </c>
      <c r="D150" s="12" t="s">
        <v>981</v>
      </c>
      <c r="E150" s="12" t="s">
        <v>982</v>
      </c>
      <c r="F150" s="12" t="s">
        <v>983</v>
      </c>
      <c r="G150" s="12" t="s">
        <v>984</v>
      </c>
      <c r="H150" s="12" t="s">
        <v>218</v>
      </c>
      <c r="I150" s="15" t="s">
        <v>80</v>
      </c>
      <c r="J150" s="19" t="s">
        <v>135</v>
      </c>
      <c r="K150" s="12" t="s">
        <v>59</v>
      </c>
      <c r="L150" s="12" t="s">
        <v>60</v>
      </c>
      <c r="M150" s="12" t="s">
        <v>60</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30" customWidth="1"/>
    <col min="3" max="3" width="12" customWidth="1"/>
    <col min="4" max="4" width="18" customWidth="1"/>
    <col min="5" max="5" width="20" customWidth="1"/>
    <col min="6" max="6" width="30" customWidth="1"/>
    <col min="7" max="7" width="34" customWidth="1"/>
    <col min="8" max="8" width="30" customWidth="1"/>
    <col min="9" max="9" width="26" customWidth="1"/>
    <col min="10" max="10" width="30" customWidth="1"/>
    <col min="11" max="12" width="34" customWidth="1"/>
    <col min="13" max="13" width="16" customWidth="1"/>
  </cols>
  <sheetData>
    <row r="1" ht="30" customHeight="1" spans="1:13" x14ac:dyDescent="0.25">
      <c r="A1" s="10" t="s">
        <v>48</v>
      </c>
      <c r="B1" s="10" t="s">
        <v>985</v>
      </c>
      <c r="C1" s="10" t="s">
        <v>986</v>
      </c>
      <c r="D1" s="10" t="s">
        <v>987</v>
      </c>
      <c r="E1" s="10" t="s">
        <v>988</v>
      </c>
      <c r="F1" s="10" t="s">
        <v>989</v>
      </c>
      <c r="G1" s="10" t="s">
        <v>990</v>
      </c>
      <c r="H1" s="10" t="s">
        <v>991</v>
      </c>
      <c r="I1" s="10" t="s">
        <v>992</v>
      </c>
      <c r="J1" s="10" t="s">
        <v>993</v>
      </c>
      <c r="K1" s="10" t="s">
        <v>994</v>
      </c>
      <c r="L1" s="10" t="s">
        <v>995</v>
      </c>
      <c r="M1" s="10" t="s">
        <v>45</v>
      </c>
    </row>
    <row r="2" spans="1:13" x14ac:dyDescent="0.25">
      <c r="A2" s="11" t="s">
        <v>127</v>
      </c>
      <c r="B2" s="12" t="s">
        <v>996</v>
      </c>
      <c r="C2" s="21" t="s">
        <v>997</v>
      </c>
      <c r="D2" s="12" t="s">
        <v>998</v>
      </c>
      <c r="E2" s="12" t="s">
        <v>120</v>
      </c>
      <c r="F2" s="12" t="s">
        <v>999</v>
      </c>
      <c r="G2" s="12" t="s">
        <v>1000</v>
      </c>
      <c r="H2" s="12" t="s">
        <v>1001</v>
      </c>
      <c r="I2" s="12" t="s">
        <v>1002</v>
      </c>
      <c r="J2" s="12" t="s">
        <v>1003</v>
      </c>
      <c r="K2" s="12" t="s">
        <v>1004</v>
      </c>
      <c r="L2" s="12" t="s">
        <v>1005</v>
      </c>
      <c r="M2" s="12" t="s">
        <v>1006</v>
      </c>
    </row>
    <row r="3" spans="1:13" x14ac:dyDescent="0.25">
      <c r="A3" s="11" t="s">
        <v>423</v>
      </c>
      <c r="B3" s="12" t="s">
        <v>1007</v>
      </c>
      <c r="C3" s="22" t="s">
        <v>1008</v>
      </c>
      <c r="D3" s="12" t="s">
        <v>1009</v>
      </c>
      <c r="E3" s="12" t="s">
        <v>1010</v>
      </c>
      <c r="F3" s="12" t="s">
        <v>1011</v>
      </c>
      <c r="G3" s="12" t="s">
        <v>1012</v>
      </c>
      <c r="H3" s="12" t="s">
        <v>1013</v>
      </c>
      <c r="I3" s="12" t="s">
        <v>1014</v>
      </c>
      <c r="J3" s="12" t="s">
        <v>1015</v>
      </c>
      <c r="K3" s="12" t="s">
        <v>1016</v>
      </c>
      <c r="L3" s="12" t="s">
        <v>1017</v>
      </c>
      <c r="M3" s="12" t="s">
        <v>1006</v>
      </c>
    </row>
    <row r="4" spans="1:13" x14ac:dyDescent="0.25">
      <c r="A4" s="11" t="s">
        <v>1018</v>
      </c>
      <c r="B4" s="12" t="s">
        <v>1019</v>
      </c>
      <c r="C4" s="23" t="s">
        <v>1020</v>
      </c>
      <c r="D4" s="12" t="s">
        <v>1021</v>
      </c>
      <c r="E4" s="12" t="s">
        <v>820</v>
      </c>
      <c r="F4" s="12" t="s">
        <v>1022</v>
      </c>
      <c r="G4" s="12" t="s">
        <v>1023</v>
      </c>
      <c r="H4" s="12" t="s">
        <v>1024</v>
      </c>
      <c r="I4" s="12" t="s">
        <v>1025</v>
      </c>
      <c r="J4" s="12" t="s">
        <v>1026</v>
      </c>
      <c r="K4" s="12" t="s">
        <v>1027</v>
      </c>
      <c r="L4" s="12" t="s">
        <v>1028</v>
      </c>
      <c r="M4" s="12" t="s">
        <v>1006</v>
      </c>
    </row>
    <row r="5" spans="1:13" x14ac:dyDescent="0.25">
      <c r="A5" s="11" t="s">
        <v>834</v>
      </c>
      <c r="B5" s="12" t="s">
        <v>1029</v>
      </c>
      <c r="C5" s="24" t="s">
        <v>1030</v>
      </c>
      <c r="D5" s="12" t="s">
        <v>1021</v>
      </c>
      <c r="E5" s="12" t="s">
        <v>828</v>
      </c>
      <c r="F5" s="12" t="s">
        <v>1031</v>
      </c>
      <c r="G5" s="12" t="s">
        <v>1032</v>
      </c>
      <c r="H5" s="12" t="s">
        <v>1033</v>
      </c>
      <c r="I5" s="12" t="s">
        <v>1034</v>
      </c>
      <c r="J5" s="12" t="s">
        <v>1035</v>
      </c>
      <c r="K5" s="12" t="s">
        <v>1036</v>
      </c>
      <c r="L5" s="12" t="s">
        <v>1037</v>
      </c>
      <c r="M5" s="12" t="s">
        <v>1006</v>
      </c>
    </row>
    <row r="6" spans="1:13" x14ac:dyDescent="0.25">
      <c r="A6" s="11" t="s">
        <v>1038</v>
      </c>
      <c r="B6" s="12" t="s">
        <v>1039</v>
      </c>
      <c r="C6" s="25" t="s">
        <v>1040</v>
      </c>
      <c r="D6" s="12" t="s">
        <v>1041</v>
      </c>
      <c r="E6" s="12" t="s">
        <v>570</v>
      </c>
      <c r="F6" s="12" t="s">
        <v>1042</v>
      </c>
      <c r="G6" s="12" t="s">
        <v>1043</v>
      </c>
      <c r="H6" s="12" t="s">
        <v>1044</v>
      </c>
      <c r="I6" s="12" t="s">
        <v>1045</v>
      </c>
      <c r="J6" s="12" t="s">
        <v>1046</v>
      </c>
      <c r="K6" s="12" t="s">
        <v>1047</v>
      </c>
      <c r="L6" s="12" t="s">
        <v>1048</v>
      </c>
      <c r="M6" s="12" t="s">
        <v>1006</v>
      </c>
    </row>
    <row r="7" spans="1:13" x14ac:dyDescent="0.25">
      <c r="A7" s="11" t="s">
        <v>1049</v>
      </c>
      <c r="B7" s="12" t="s">
        <v>1050</v>
      </c>
      <c r="C7" s="26" t="s">
        <v>1051</v>
      </c>
      <c r="D7" s="12" t="s">
        <v>1052</v>
      </c>
      <c r="E7" s="12" t="s">
        <v>1053</v>
      </c>
      <c r="F7" s="12" t="s">
        <v>1054</v>
      </c>
      <c r="G7" s="12" t="s">
        <v>1055</v>
      </c>
      <c r="H7" s="12" t="s">
        <v>1056</v>
      </c>
      <c r="I7" s="12" t="s">
        <v>1057</v>
      </c>
      <c r="J7" s="12" t="s">
        <v>1058</v>
      </c>
      <c r="K7" s="12" t="s">
        <v>1059</v>
      </c>
      <c r="L7" s="12" t="s">
        <v>1060</v>
      </c>
      <c r="M7" s="12" t="s">
        <v>1006</v>
      </c>
    </row>
    <row r="8" spans="1:13" x14ac:dyDescent="0.25">
      <c r="A8" s="11" t="s">
        <v>812</v>
      </c>
      <c r="B8" s="12" t="s">
        <v>1061</v>
      </c>
      <c r="C8" s="27" t="s">
        <v>1062</v>
      </c>
      <c r="D8" s="12" t="s">
        <v>1063</v>
      </c>
      <c r="E8" s="12" t="s">
        <v>1064</v>
      </c>
      <c r="F8" s="12" t="s">
        <v>1065</v>
      </c>
      <c r="G8" s="12" t="s">
        <v>1066</v>
      </c>
      <c r="H8" s="12" t="s">
        <v>1067</v>
      </c>
      <c r="I8" s="12" t="s">
        <v>1068</v>
      </c>
      <c r="J8" s="12" t="s">
        <v>1069</v>
      </c>
      <c r="K8" s="12" t="s">
        <v>1070</v>
      </c>
      <c r="L8" s="12" t="s">
        <v>1071</v>
      </c>
      <c r="M8" s="12" t="s">
        <v>1072</v>
      </c>
    </row>
    <row r="9" spans="1:13" x14ac:dyDescent="0.25">
      <c r="A9" s="11" t="s">
        <v>1073</v>
      </c>
      <c r="B9" s="12" t="s">
        <v>1074</v>
      </c>
      <c r="C9" s="26" t="s">
        <v>1075</v>
      </c>
      <c r="D9" s="12" t="s">
        <v>998</v>
      </c>
      <c r="E9" s="12" t="s">
        <v>50</v>
      </c>
      <c r="F9" s="12" t="s">
        <v>1076</v>
      </c>
      <c r="G9" s="12" t="s">
        <v>1077</v>
      </c>
      <c r="H9" s="12" t="s">
        <v>1078</v>
      </c>
      <c r="I9" s="12" t="s">
        <v>1079</v>
      </c>
      <c r="J9" s="12" t="s">
        <v>1080</v>
      </c>
      <c r="K9" s="12" t="s">
        <v>1081</v>
      </c>
      <c r="L9" s="12" t="s">
        <v>1082</v>
      </c>
      <c r="M9" s="12" t="s">
        <v>1006</v>
      </c>
    </row>
  </sheetData>
  <autoFilter ref="A1:M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26" customWidth="1"/>
    <col min="3" max="4" width="10" customWidth="1"/>
    <col min="5" max="5" width="14" customWidth="1"/>
    <col min="6" max="6" width="10" customWidth="1"/>
    <col min="7" max="7" width="14" customWidth="1"/>
  </cols>
  <sheetData>
    <row r="1" ht="22" customHeight="1" spans="1:7" x14ac:dyDescent="0.25">
      <c r="A1" s="28" t="s">
        <v>1083</v>
      </c>
      <c r="B1" s="28"/>
      <c r="C1" s="28"/>
      <c r="D1" s="28"/>
      <c r="E1" s="28"/>
      <c r="F1" s="28"/>
      <c r="G1" s="28"/>
    </row>
    <row r="3" ht="20" customHeight="1" spans="1:7" x14ac:dyDescent="0.25">
      <c r="A3" s="10" t="s">
        <v>1084</v>
      </c>
      <c r="B3" s="10" t="s">
        <v>1085</v>
      </c>
      <c r="C3" s="10" t="s">
        <v>1086</v>
      </c>
      <c r="D3" s="10" t="s">
        <v>57</v>
      </c>
      <c r="E3" s="10" t="s">
        <v>126</v>
      </c>
      <c r="F3" s="10" t="s">
        <v>274</v>
      </c>
      <c r="G3" s="10" t="s">
        <v>80</v>
      </c>
    </row>
    <row r="4" spans="1:7" x14ac:dyDescent="0.25">
      <c r="A4" s="29" t="s">
        <v>51</v>
      </c>
      <c r="B4" s="30" t="s">
        <v>998</v>
      </c>
      <c r="C4" s="29">
        <f>COUNTIF('Test Case Detail'!$B$2:$B$150,$A4)</f>
      </c>
      <c r="D4" s="29">
        <f>COUNTIFS('Test Case Detail'!$B$2:$B$150,$A4,'Test Case Detail'!$I$2:$I$150,"Pass")</f>
      </c>
      <c r="E4" s="29">
        <f>COUNTIFS('Test Case Detail'!$B$2:$B$150,$A4,'Test Case Detail'!$I$2:$I$150,"Fail")</f>
      </c>
      <c r="F4" s="29">
        <f>COUNTIFS('Test Case Detail'!$B$2:$B$150,$A4,'Test Case Detail'!$I$2:$I$150,"Blocked")</f>
      </c>
      <c r="G4" s="29">
        <f>COUNTIFS('Test Case Detail'!$B$2:$B$150,$A4,'Test Case Detail'!$I$2:$I$150,"Not Executed")</f>
      </c>
    </row>
    <row r="5" spans="1:7" x14ac:dyDescent="0.25">
      <c r="A5" s="29" t="s">
        <v>148</v>
      </c>
      <c r="B5" s="30" t="s">
        <v>148</v>
      </c>
      <c r="C5" s="29">
        <f>COUNTIF('Test Case Detail'!$B$2:$B$150,$A5)</f>
      </c>
      <c r="D5" s="29">
        <f>COUNTIFS('Test Case Detail'!$B$2:$B$150,$A5,'Test Case Detail'!$I$2:$I$150,"Pass")</f>
      </c>
      <c r="E5" s="29">
        <f>COUNTIFS('Test Case Detail'!$B$2:$B$150,$A5,'Test Case Detail'!$I$2:$I$150,"Fail")</f>
      </c>
      <c r="F5" s="29">
        <f>COUNTIFS('Test Case Detail'!$B$2:$B$150,$A5,'Test Case Detail'!$I$2:$I$150,"Blocked")</f>
      </c>
      <c r="G5" s="29">
        <f>COUNTIFS('Test Case Detail'!$B$2:$B$150,$A5,'Test Case Detail'!$I$2:$I$150,"Not Executed")</f>
      </c>
    </row>
    <row r="6" spans="1:7" x14ac:dyDescent="0.25">
      <c r="A6" s="29" t="s">
        <v>194</v>
      </c>
      <c r="B6" s="30" t="s">
        <v>1087</v>
      </c>
      <c r="C6" s="29">
        <f>COUNTIF('Test Case Detail'!$B$2:$B$150,$A6)</f>
      </c>
      <c r="D6" s="29">
        <f>COUNTIFS('Test Case Detail'!$B$2:$B$150,$A6,'Test Case Detail'!$I$2:$I$150,"Pass")</f>
      </c>
      <c r="E6" s="29">
        <f>COUNTIFS('Test Case Detail'!$B$2:$B$150,$A6,'Test Case Detail'!$I$2:$I$150,"Fail")</f>
      </c>
      <c r="F6" s="29">
        <f>COUNTIFS('Test Case Detail'!$B$2:$B$150,$A6,'Test Case Detail'!$I$2:$I$150,"Blocked")</f>
      </c>
      <c r="G6" s="29">
        <f>COUNTIFS('Test Case Detail'!$B$2:$B$150,$A6,'Test Case Detail'!$I$2:$I$150,"Not Executed")</f>
      </c>
    </row>
    <row r="7" spans="1:7" x14ac:dyDescent="0.25">
      <c r="A7" s="29" t="s">
        <v>284</v>
      </c>
      <c r="B7" s="30" t="s">
        <v>1088</v>
      </c>
      <c r="C7" s="29">
        <f>COUNTIF('Test Case Detail'!$B$2:$B$150,$A7)</f>
      </c>
      <c r="D7" s="29">
        <f>COUNTIFS('Test Case Detail'!$B$2:$B$150,$A7,'Test Case Detail'!$I$2:$I$150,"Pass")</f>
      </c>
      <c r="E7" s="29">
        <f>COUNTIFS('Test Case Detail'!$B$2:$B$150,$A7,'Test Case Detail'!$I$2:$I$150,"Fail")</f>
      </c>
      <c r="F7" s="29">
        <f>COUNTIFS('Test Case Detail'!$B$2:$B$150,$A7,'Test Case Detail'!$I$2:$I$150,"Blocked")</f>
      </c>
      <c r="G7" s="29">
        <f>COUNTIFS('Test Case Detail'!$B$2:$B$150,$A7,'Test Case Detail'!$I$2:$I$150,"Not Executed")</f>
      </c>
    </row>
    <row r="8" spans="1:7" x14ac:dyDescent="0.25">
      <c r="A8" s="29" t="s">
        <v>324</v>
      </c>
      <c r="B8" s="30" t="s">
        <v>1089</v>
      </c>
      <c r="C8" s="29">
        <f>COUNTIF('Test Case Detail'!$B$2:$B$150,$A8)</f>
      </c>
      <c r="D8" s="29">
        <f>COUNTIFS('Test Case Detail'!$B$2:$B$150,$A8,'Test Case Detail'!$I$2:$I$150,"Pass")</f>
      </c>
      <c r="E8" s="29">
        <f>COUNTIFS('Test Case Detail'!$B$2:$B$150,$A8,'Test Case Detail'!$I$2:$I$150,"Fail")</f>
      </c>
      <c r="F8" s="29">
        <f>COUNTIFS('Test Case Detail'!$B$2:$B$150,$A8,'Test Case Detail'!$I$2:$I$150,"Blocked")</f>
      </c>
      <c r="G8" s="29">
        <f>COUNTIFS('Test Case Detail'!$B$2:$B$150,$A8,'Test Case Detail'!$I$2:$I$150,"Not Executed")</f>
      </c>
    </row>
    <row r="9" spans="1:7" x14ac:dyDescent="0.25">
      <c r="A9" s="29" t="s">
        <v>345</v>
      </c>
      <c r="B9" s="30" t="s">
        <v>1090</v>
      </c>
      <c r="C9" s="29">
        <f>COUNTIF('Test Case Detail'!$B$2:$B$150,$A9)</f>
      </c>
      <c r="D9" s="29">
        <f>COUNTIFS('Test Case Detail'!$B$2:$B$150,$A9,'Test Case Detail'!$I$2:$I$150,"Pass")</f>
      </c>
      <c r="E9" s="29">
        <f>COUNTIFS('Test Case Detail'!$B$2:$B$150,$A9,'Test Case Detail'!$I$2:$I$150,"Fail")</f>
      </c>
      <c r="F9" s="29">
        <f>COUNTIFS('Test Case Detail'!$B$2:$B$150,$A9,'Test Case Detail'!$I$2:$I$150,"Blocked")</f>
      </c>
      <c r="G9" s="29">
        <f>COUNTIFS('Test Case Detail'!$B$2:$B$150,$A9,'Test Case Detail'!$I$2:$I$150,"Not Executed")</f>
      </c>
    </row>
    <row r="10" spans="1:7" x14ac:dyDescent="0.25">
      <c r="A10" s="29" t="s">
        <v>361</v>
      </c>
      <c r="B10" s="30" t="s">
        <v>1091</v>
      </c>
      <c r="C10" s="29">
        <f>COUNTIF('Test Case Detail'!$B$2:$B$150,$A10)</f>
      </c>
      <c r="D10" s="29">
        <f>COUNTIFS('Test Case Detail'!$B$2:$B$150,$A10,'Test Case Detail'!$I$2:$I$150,"Pass")</f>
      </c>
      <c r="E10" s="29">
        <f>COUNTIFS('Test Case Detail'!$B$2:$B$150,$A10,'Test Case Detail'!$I$2:$I$150,"Fail")</f>
      </c>
      <c r="F10" s="29">
        <f>COUNTIFS('Test Case Detail'!$B$2:$B$150,$A10,'Test Case Detail'!$I$2:$I$150,"Blocked")</f>
      </c>
      <c r="G10" s="29">
        <f>COUNTIFS('Test Case Detail'!$B$2:$B$150,$A10,'Test Case Detail'!$I$2:$I$150,"Not Executed")</f>
      </c>
    </row>
    <row r="11" spans="1:7" x14ac:dyDescent="0.25">
      <c r="A11" s="29" t="s">
        <v>392</v>
      </c>
      <c r="B11" s="30" t="s">
        <v>1092</v>
      </c>
      <c r="C11" s="29">
        <f>COUNTIF('Test Case Detail'!$B$2:$B$150,$A11)</f>
      </c>
      <c r="D11" s="29">
        <f>COUNTIFS('Test Case Detail'!$B$2:$B$150,$A11,'Test Case Detail'!$I$2:$I$150,"Pass")</f>
      </c>
      <c r="E11" s="29">
        <f>COUNTIFS('Test Case Detail'!$B$2:$B$150,$A11,'Test Case Detail'!$I$2:$I$150,"Fail")</f>
      </c>
      <c r="F11" s="29">
        <f>COUNTIFS('Test Case Detail'!$B$2:$B$150,$A11,'Test Case Detail'!$I$2:$I$150,"Blocked")</f>
      </c>
      <c r="G11" s="29">
        <f>COUNTIFS('Test Case Detail'!$B$2:$B$150,$A11,'Test Case Detail'!$I$2:$I$150,"Not Executed")</f>
      </c>
    </row>
    <row r="12" spans="1:7" x14ac:dyDescent="0.25">
      <c r="A12" s="29" t="s">
        <v>457</v>
      </c>
      <c r="B12" s="30" t="s">
        <v>1093</v>
      </c>
      <c r="C12" s="29">
        <f>COUNTIF('Test Case Detail'!$B$2:$B$150,$A12)</f>
      </c>
      <c r="D12" s="29">
        <f>COUNTIFS('Test Case Detail'!$B$2:$B$150,$A12,'Test Case Detail'!$I$2:$I$150,"Pass")</f>
      </c>
      <c r="E12" s="29">
        <f>COUNTIFS('Test Case Detail'!$B$2:$B$150,$A12,'Test Case Detail'!$I$2:$I$150,"Fail")</f>
      </c>
      <c r="F12" s="29">
        <f>COUNTIFS('Test Case Detail'!$B$2:$B$150,$A12,'Test Case Detail'!$I$2:$I$150,"Blocked")</f>
      </c>
      <c r="G12" s="29">
        <f>COUNTIFS('Test Case Detail'!$B$2:$B$150,$A12,'Test Case Detail'!$I$2:$I$150,"Not Executed")</f>
      </c>
    </row>
    <row r="13" spans="1:7" x14ac:dyDescent="0.25">
      <c r="A13" s="29" t="s">
        <v>571</v>
      </c>
      <c r="B13" s="30" t="s">
        <v>1094</v>
      </c>
      <c r="C13" s="29">
        <f>COUNTIF('Test Case Detail'!$B$2:$B$150,$A13)</f>
      </c>
      <c r="D13" s="29">
        <f>COUNTIFS('Test Case Detail'!$B$2:$B$150,$A13,'Test Case Detail'!$I$2:$I$150,"Pass")</f>
      </c>
      <c r="E13" s="29">
        <f>COUNTIFS('Test Case Detail'!$B$2:$B$150,$A13,'Test Case Detail'!$I$2:$I$150,"Fail")</f>
      </c>
      <c r="F13" s="29">
        <f>COUNTIFS('Test Case Detail'!$B$2:$B$150,$A13,'Test Case Detail'!$I$2:$I$150,"Blocked")</f>
      </c>
      <c r="G13" s="29">
        <f>COUNTIFS('Test Case Detail'!$B$2:$B$150,$A13,'Test Case Detail'!$I$2:$I$150,"Not Executed")</f>
      </c>
    </row>
    <row r="14" spans="1:7" x14ac:dyDescent="0.25">
      <c r="A14" s="29" t="s">
        <v>619</v>
      </c>
      <c r="B14" s="30" t="s">
        <v>1095</v>
      </c>
      <c r="C14" s="29">
        <f>COUNTIF('Test Case Detail'!$B$2:$B$150,$A14)</f>
      </c>
      <c r="D14" s="29">
        <f>COUNTIFS('Test Case Detail'!$B$2:$B$150,$A14,'Test Case Detail'!$I$2:$I$150,"Pass")</f>
      </c>
      <c r="E14" s="29">
        <f>COUNTIFS('Test Case Detail'!$B$2:$B$150,$A14,'Test Case Detail'!$I$2:$I$150,"Fail")</f>
      </c>
      <c r="F14" s="29">
        <f>COUNTIFS('Test Case Detail'!$B$2:$B$150,$A14,'Test Case Detail'!$I$2:$I$150,"Blocked")</f>
      </c>
      <c r="G14" s="29">
        <f>COUNTIFS('Test Case Detail'!$B$2:$B$150,$A14,'Test Case Detail'!$I$2:$I$150,"Not Executed")</f>
      </c>
    </row>
    <row r="15" spans="1:7" x14ac:dyDescent="0.25">
      <c r="A15" s="29" t="s">
        <v>703</v>
      </c>
      <c r="B15" s="30" t="s">
        <v>1096</v>
      </c>
      <c r="C15" s="29">
        <f>COUNTIF('Test Case Detail'!$B$2:$B$150,$A15)</f>
      </c>
      <c r="D15" s="29">
        <f>COUNTIFS('Test Case Detail'!$B$2:$B$150,$A15,'Test Case Detail'!$I$2:$I$150,"Pass")</f>
      </c>
      <c r="E15" s="29">
        <f>COUNTIFS('Test Case Detail'!$B$2:$B$150,$A15,'Test Case Detail'!$I$2:$I$150,"Fail")</f>
      </c>
      <c r="F15" s="29">
        <f>COUNTIFS('Test Case Detail'!$B$2:$B$150,$A15,'Test Case Detail'!$I$2:$I$150,"Blocked")</f>
      </c>
      <c r="G15" s="29">
        <f>COUNTIFS('Test Case Detail'!$B$2:$B$150,$A15,'Test Case Detail'!$I$2:$I$150,"Not Executed")</f>
      </c>
    </row>
    <row r="16" spans="1:7" x14ac:dyDescent="0.25">
      <c r="A16" s="29" t="s">
        <v>715</v>
      </c>
      <c r="B16" s="30" t="s">
        <v>1097</v>
      </c>
      <c r="C16" s="29">
        <f>COUNTIF('Test Case Detail'!$B$2:$B$150,$A16)</f>
      </c>
      <c r="D16" s="29">
        <f>COUNTIFS('Test Case Detail'!$B$2:$B$150,$A16,'Test Case Detail'!$I$2:$I$150,"Pass")</f>
      </c>
      <c r="E16" s="29">
        <f>COUNTIFS('Test Case Detail'!$B$2:$B$150,$A16,'Test Case Detail'!$I$2:$I$150,"Fail")</f>
      </c>
      <c r="F16" s="29">
        <f>COUNTIFS('Test Case Detail'!$B$2:$B$150,$A16,'Test Case Detail'!$I$2:$I$150,"Blocked")</f>
      </c>
      <c r="G16" s="29">
        <f>COUNTIFS('Test Case Detail'!$B$2:$B$150,$A16,'Test Case Detail'!$I$2:$I$150,"Not Executed")</f>
      </c>
    </row>
    <row r="17" spans="1:7" x14ac:dyDescent="0.25">
      <c r="A17" s="29" t="s">
        <v>769</v>
      </c>
      <c r="B17" s="30" t="s">
        <v>1098</v>
      </c>
      <c r="C17" s="29">
        <f>COUNTIF('Test Case Detail'!$B$2:$B$150,$A17)</f>
      </c>
      <c r="D17" s="29">
        <f>COUNTIFS('Test Case Detail'!$B$2:$B$150,$A17,'Test Case Detail'!$I$2:$I$150,"Pass")</f>
      </c>
      <c r="E17" s="29">
        <f>COUNTIFS('Test Case Detail'!$B$2:$B$150,$A17,'Test Case Detail'!$I$2:$I$150,"Fail")</f>
      </c>
      <c r="F17" s="29">
        <f>COUNTIFS('Test Case Detail'!$B$2:$B$150,$A17,'Test Case Detail'!$I$2:$I$150,"Blocked")</f>
      </c>
      <c r="G17" s="29">
        <f>COUNTIFS('Test Case Detail'!$B$2:$B$150,$A17,'Test Case Detail'!$I$2:$I$150,"Not Executed")</f>
      </c>
    </row>
    <row r="18" spans="1:7" x14ac:dyDescent="0.25">
      <c r="A18" s="29" t="s">
        <v>815</v>
      </c>
      <c r="B18" s="30" t="s">
        <v>1021</v>
      </c>
      <c r="C18" s="29">
        <f>COUNTIF('Test Case Detail'!$B$2:$B$150,$A18)</f>
      </c>
      <c r="D18" s="29">
        <f>COUNTIFS('Test Case Detail'!$B$2:$B$150,$A18,'Test Case Detail'!$I$2:$I$150,"Pass")</f>
      </c>
      <c r="E18" s="29">
        <f>COUNTIFS('Test Case Detail'!$B$2:$B$150,$A18,'Test Case Detail'!$I$2:$I$150,"Fail")</f>
      </c>
      <c r="F18" s="29">
        <f>COUNTIFS('Test Case Detail'!$B$2:$B$150,$A18,'Test Case Detail'!$I$2:$I$150,"Blocked")</f>
      </c>
      <c r="G18" s="29">
        <f>COUNTIFS('Test Case Detail'!$B$2:$B$150,$A18,'Test Case Detail'!$I$2:$I$150,"Not Executed")</f>
      </c>
    </row>
    <row r="19" spans="1:7" x14ac:dyDescent="0.25">
      <c r="A19" s="29" t="s">
        <v>854</v>
      </c>
      <c r="B19" s="30" t="s">
        <v>1099</v>
      </c>
      <c r="C19" s="29">
        <f>COUNTIF('Test Case Detail'!$B$2:$B$150,$A19)</f>
      </c>
      <c r="D19" s="29">
        <f>COUNTIFS('Test Case Detail'!$B$2:$B$150,$A19,'Test Case Detail'!$I$2:$I$150,"Pass")</f>
      </c>
      <c r="E19" s="29">
        <f>COUNTIFS('Test Case Detail'!$B$2:$B$150,$A19,'Test Case Detail'!$I$2:$I$150,"Fail")</f>
      </c>
      <c r="F19" s="29">
        <f>COUNTIFS('Test Case Detail'!$B$2:$B$150,$A19,'Test Case Detail'!$I$2:$I$150,"Blocked")</f>
      </c>
      <c r="G19" s="29">
        <f>COUNTIFS('Test Case Detail'!$B$2:$B$150,$A19,'Test Case Detail'!$I$2:$I$150,"Not Executed")</f>
      </c>
    </row>
    <row r="20" spans="1:7" x14ac:dyDescent="0.25">
      <c r="A20" s="29" t="s">
        <v>886</v>
      </c>
      <c r="B20" s="30" t="s">
        <v>1100</v>
      </c>
      <c r="C20" s="29">
        <f>COUNTIF('Test Case Detail'!$B$2:$B$150,$A20)</f>
      </c>
      <c r="D20" s="29">
        <f>COUNTIFS('Test Case Detail'!$B$2:$B$150,$A20,'Test Case Detail'!$I$2:$I$150,"Pass")</f>
      </c>
      <c r="E20" s="29">
        <f>COUNTIFS('Test Case Detail'!$B$2:$B$150,$A20,'Test Case Detail'!$I$2:$I$150,"Fail")</f>
      </c>
      <c r="F20" s="29">
        <f>COUNTIFS('Test Case Detail'!$B$2:$B$150,$A20,'Test Case Detail'!$I$2:$I$150,"Blocked")</f>
      </c>
      <c r="G20" s="29">
        <f>COUNTIFS('Test Case Detail'!$B$2:$B$150,$A20,'Test Case Detail'!$I$2:$I$150,"Not Executed")</f>
      </c>
    </row>
    <row r="21" spans="1:7" x14ac:dyDescent="0.25">
      <c r="A21" s="29" t="s">
        <v>913</v>
      </c>
      <c r="B21" s="30" t="s">
        <v>1101</v>
      </c>
      <c r="C21" s="29">
        <f>COUNTIF('Test Case Detail'!$B$2:$B$150,$A21)</f>
      </c>
      <c r="D21" s="29">
        <f>COUNTIFS('Test Case Detail'!$B$2:$B$150,$A21,'Test Case Detail'!$I$2:$I$150,"Pass")</f>
      </c>
      <c r="E21" s="29">
        <f>COUNTIFS('Test Case Detail'!$B$2:$B$150,$A21,'Test Case Detail'!$I$2:$I$150,"Fail")</f>
      </c>
      <c r="F21" s="29">
        <f>COUNTIFS('Test Case Detail'!$B$2:$B$150,$A21,'Test Case Detail'!$I$2:$I$150,"Blocked")</f>
      </c>
      <c r="G21" s="29">
        <f>COUNTIFS('Test Case Detail'!$B$2:$B$150,$A21,'Test Case Detail'!$I$2:$I$150,"Not Executed")</f>
      </c>
    </row>
    <row r="22" spans="1:7" x14ac:dyDescent="0.25">
      <c r="A22" s="29" t="s">
        <v>926</v>
      </c>
      <c r="B22" s="30" t="s">
        <v>1102</v>
      </c>
      <c r="C22" s="29">
        <f>COUNTIF('Test Case Detail'!$B$2:$B$150,$A22)</f>
      </c>
      <c r="D22" s="29">
        <f>COUNTIFS('Test Case Detail'!$B$2:$B$150,$A22,'Test Case Detail'!$I$2:$I$150,"Pass")</f>
      </c>
      <c r="E22" s="29">
        <f>COUNTIFS('Test Case Detail'!$B$2:$B$150,$A22,'Test Case Detail'!$I$2:$I$150,"Fail")</f>
      </c>
      <c r="F22" s="29">
        <f>COUNTIFS('Test Case Detail'!$B$2:$B$150,$A22,'Test Case Detail'!$I$2:$I$150,"Blocked")</f>
      </c>
      <c r="G22" s="29">
        <f>COUNTIFS('Test Case Detail'!$B$2:$B$150,$A22,'Test Case Detail'!$I$2:$I$150,"Not Executed")</f>
      </c>
    </row>
    <row r="23" spans="1:7" x14ac:dyDescent="0.25">
      <c r="A23" s="29" t="s">
        <v>939</v>
      </c>
      <c r="B23" s="30" t="s">
        <v>1103</v>
      </c>
      <c r="C23" s="29">
        <f>COUNTIF('Test Case Detail'!$B$2:$B$150,$A23)</f>
      </c>
      <c r="D23" s="29">
        <f>COUNTIFS('Test Case Detail'!$B$2:$B$150,$A23,'Test Case Detail'!$I$2:$I$150,"Pass")</f>
      </c>
      <c r="E23" s="29">
        <f>COUNTIFS('Test Case Detail'!$B$2:$B$150,$A23,'Test Case Detail'!$I$2:$I$150,"Fail")</f>
      </c>
      <c r="F23" s="29">
        <f>COUNTIFS('Test Case Detail'!$B$2:$B$150,$A23,'Test Case Detail'!$I$2:$I$150,"Blocked")</f>
      </c>
      <c r="G23" s="29">
        <f>COUNTIFS('Test Case Detail'!$B$2:$B$150,$A23,'Test Case Detail'!$I$2:$I$150,"Not Executed")</f>
      </c>
    </row>
    <row r="24" spans="1:7" x14ac:dyDescent="0.25">
      <c r="A24" s="29" t="s">
        <v>968</v>
      </c>
      <c r="B24" s="30" t="s">
        <v>1104</v>
      </c>
      <c r="C24" s="29">
        <f>COUNTIF('Test Case Detail'!$B$2:$B$150,$A24)</f>
      </c>
      <c r="D24" s="29">
        <f>COUNTIFS('Test Case Detail'!$B$2:$B$150,$A24,'Test Case Detail'!$I$2:$I$150,"Pass")</f>
      </c>
      <c r="E24" s="29">
        <f>COUNTIFS('Test Case Detail'!$B$2:$B$150,$A24,'Test Case Detail'!$I$2:$I$150,"Fail")</f>
      </c>
      <c r="F24" s="29">
        <f>COUNTIFS('Test Case Detail'!$B$2:$B$150,$A24,'Test Case Detail'!$I$2:$I$150,"Blocked")</f>
      </c>
      <c r="G24" s="29">
        <f>COUNTIFS('Test Case Detail'!$B$2:$B$150,$A24,'Test Case Detail'!$I$2:$I$150,"Not Executed")</f>
      </c>
    </row>
    <row r="25" spans="1:7" x14ac:dyDescent="0.25">
      <c r="A25" s="31" t="s">
        <v>1105</v>
      </c>
      <c r="B25" s="31" t="s">
        <v>1106</v>
      </c>
      <c r="C25" s="31">
        <f>SUM(C4:C24)</f>
      </c>
      <c r="D25" s="31">
        <f>SUM(D4:D24)</f>
      </c>
      <c r="E25" s="31">
        <f>SUM(E4:E24)</f>
      </c>
      <c r="F25" s="31">
        <f>SUM(F4:F24)</f>
      </c>
      <c r="G25" s="31">
        <f>SUM(G4:G24)</f>
      </c>
    </row>
    <row r="27" spans="1:7" x14ac:dyDescent="0.25">
      <c r="A27" s="32" t="s">
        <v>1107</v>
      </c>
      <c r="B27" s="32"/>
      <c r="C27" s="32"/>
      <c r="D27" s="32"/>
      <c r="E27" s="32"/>
      <c r="F27" s="32"/>
      <c r="G27" s="32"/>
    </row>
    <row r="28" spans="2:3" x14ac:dyDescent="0.25">
      <c r="B28" s="33" t="s">
        <v>1108</v>
      </c>
      <c r="C28" s="33" t="s">
        <v>1109</v>
      </c>
    </row>
    <row r="29" spans="2:3" x14ac:dyDescent="0.25">
      <c r="B29" s="34" t="s">
        <v>1110</v>
      </c>
      <c r="C29" s="35">
        <f>COUNTIF('Test Case Detail'!$J$2:$J$150,"P0")</f>
      </c>
    </row>
    <row r="30" spans="2:3" x14ac:dyDescent="0.25">
      <c r="B30" s="34" t="s">
        <v>1111</v>
      </c>
      <c r="C30" s="35">
        <f>COUNTIFS('Test Case Detail'!$J$2:$J$150,"P0",'Test Case Detail'!$I$2:$I$150,"Pass")</f>
      </c>
    </row>
    <row r="31" spans="2:3" x14ac:dyDescent="0.25">
      <c r="B31" s="34" t="s">
        <v>1112</v>
      </c>
      <c r="C31" s="35">
        <f>COUNTIFS('Test Case Detail'!$J$2:$J$150,"P0",'Test Case Detail'!$I$2:$I$150,"Fail")</f>
      </c>
    </row>
    <row r="32" spans="2:3" x14ac:dyDescent="0.25">
      <c r="B32" s="34" t="s">
        <v>1113</v>
      </c>
      <c r="C32" s="35">
        <f>COUNTIFS('Test Case Detail'!$J$2:$J$150,"P0",'Test Case Detail'!$I$2:$I$150,"Blocked")</f>
      </c>
    </row>
    <row r="33" spans="2:3" x14ac:dyDescent="0.25">
      <c r="B33" s="34" t="s">
        <v>1114</v>
      </c>
      <c r="C33" s="35">
        <f>COUNTIFS('Test Case Detail'!$J$2:$J$150,"P0",'Test Case Detail'!$I$2:$I$150,"Not Executed")</f>
      </c>
    </row>
    <row r="35" spans="1:7" x14ac:dyDescent="0.25">
      <c r="A35" s="32" t="s">
        <v>1115</v>
      </c>
      <c r="B35" s="32"/>
      <c r="C35" s="32"/>
      <c r="D35" s="32"/>
      <c r="E35" s="32"/>
      <c r="F35" s="32"/>
      <c r="G35" s="32"/>
    </row>
    <row r="36" spans="2:3" x14ac:dyDescent="0.25">
      <c r="B36" s="33" t="s">
        <v>986</v>
      </c>
      <c r="C36" s="33" t="s">
        <v>1109</v>
      </c>
    </row>
    <row r="37" spans="2:3" x14ac:dyDescent="0.25">
      <c r="B37" s="34" t="s">
        <v>997</v>
      </c>
      <c r="C37" s="35">
        <v>1</v>
      </c>
    </row>
    <row r="38" spans="2:3" x14ac:dyDescent="0.25">
      <c r="B38" s="34" t="s">
        <v>1008</v>
      </c>
      <c r="C38" s="35">
        <v>1</v>
      </c>
    </row>
    <row r="39" spans="2:3" x14ac:dyDescent="0.25">
      <c r="B39" s="34" t="s">
        <v>1020</v>
      </c>
      <c r="C39" s="35">
        <v>1</v>
      </c>
    </row>
    <row r="40" spans="2:3" x14ac:dyDescent="0.25">
      <c r="B40" s="34" t="s">
        <v>1030</v>
      </c>
      <c r="C40" s="35">
        <v>1</v>
      </c>
    </row>
    <row r="41" spans="2:3" x14ac:dyDescent="0.25">
      <c r="B41" s="34" t="s">
        <v>1040</v>
      </c>
      <c r="C41" s="35">
        <v>1</v>
      </c>
    </row>
    <row r="42" spans="2:3" x14ac:dyDescent="0.25">
      <c r="B42" s="34" t="s">
        <v>1051</v>
      </c>
      <c r="C42" s="35">
        <v>1</v>
      </c>
    </row>
    <row r="43" spans="2:3" x14ac:dyDescent="0.25">
      <c r="B43" s="34" t="s">
        <v>1062</v>
      </c>
      <c r="C43" s="35">
        <v>1</v>
      </c>
    </row>
    <row r="44" spans="2:3" x14ac:dyDescent="0.25">
      <c r="B44" s="34" t="s">
        <v>1075</v>
      </c>
      <c r="C44" s="35">
        <v>1</v>
      </c>
    </row>
    <row r="46" spans="1:7" x14ac:dyDescent="0.25">
      <c r="A46" s="32" t="s">
        <v>1116</v>
      </c>
      <c r="B46" s="32"/>
      <c r="C46" s="32"/>
      <c r="D46" s="32"/>
      <c r="E46" s="32"/>
      <c r="F46" s="32"/>
      <c r="G46" s="32"/>
    </row>
    <row r="47" spans="1:7" x14ac:dyDescent="0.25">
      <c r="A47" s="7" t="s">
        <v>1117</v>
      </c>
      <c r="B47" s="7"/>
      <c r="C47" s="7"/>
      <c r="D47" s="36" t="s">
        <v>1118</v>
      </c>
      <c r="E47" s="36"/>
      <c r="F47" s="36"/>
      <c r="G47" s="36"/>
    </row>
    <row r="48" spans="1:7" x14ac:dyDescent="0.25">
      <c r="A48" s="7" t="s">
        <v>1119</v>
      </c>
      <c r="B48" s="7"/>
      <c r="C48" s="7"/>
      <c r="D48" s="36" t="s">
        <v>1120</v>
      </c>
      <c r="E48" s="36"/>
      <c r="F48" s="36"/>
      <c r="G48" s="36"/>
    </row>
    <row r="49" spans="1:7" x14ac:dyDescent="0.25">
      <c r="A49" s="7" t="s">
        <v>1121</v>
      </c>
      <c r="B49" s="7"/>
      <c r="C49" s="7"/>
      <c r="D49" s="36" t="s">
        <v>1122</v>
      </c>
      <c r="E49" s="36"/>
      <c r="F49" s="36"/>
      <c r="G49" s="36"/>
    </row>
    <row r="50" spans="1:7" x14ac:dyDescent="0.25">
      <c r="A50" s="7" t="s">
        <v>1123</v>
      </c>
      <c r="B50" s="7"/>
      <c r="C50" s="7"/>
      <c r="D50" s="36" t="s">
        <v>1124</v>
      </c>
      <c r="E50" s="36"/>
      <c r="F50" s="36"/>
      <c r="G50" s="36"/>
    </row>
  </sheetData>
  <mergeCells count="12">
    <mergeCell ref="A1:G1"/>
    <mergeCell ref="A27:G27"/>
    <mergeCell ref="A35:G35"/>
    <mergeCell ref="A46:G46"/>
    <mergeCell ref="A47:C47"/>
    <mergeCell ref="D47:G47"/>
    <mergeCell ref="A48:C48"/>
    <mergeCell ref="D48:G48"/>
    <mergeCell ref="A49:C49"/>
    <mergeCell ref="D49:G49"/>
    <mergeCell ref="A50:C50"/>
    <mergeCell ref="D50:G5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42" customWidth="1"/>
    <col min="3" max="3" width="20" customWidth="1"/>
    <col min="4" max="4" width="30" customWidth="1"/>
    <col min="5" max="5" width="46" customWidth="1"/>
  </cols>
  <sheetData>
    <row r="1" ht="30" customHeight="1" spans="1:5" x14ac:dyDescent="0.25">
      <c r="A1" s="10" t="s">
        <v>1125</v>
      </c>
      <c r="B1" s="10" t="s">
        <v>1126</v>
      </c>
      <c r="C1" s="10" t="s">
        <v>1127</v>
      </c>
      <c r="D1" s="10" t="s">
        <v>988</v>
      </c>
      <c r="E1" s="10" t="s">
        <v>1128</v>
      </c>
    </row>
    <row r="2" spans="1:5" x14ac:dyDescent="0.25">
      <c r="A2" s="37" t="s">
        <v>1129</v>
      </c>
      <c r="B2" s="38" t="s">
        <v>1130</v>
      </c>
      <c r="C2" s="38" t="s">
        <v>200</v>
      </c>
      <c r="D2" s="38" t="s">
        <v>1131</v>
      </c>
      <c r="E2" s="39" t="s">
        <v>1132</v>
      </c>
    </row>
    <row r="3" spans="1:5" x14ac:dyDescent="0.25">
      <c r="A3" s="37" t="s">
        <v>1133</v>
      </c>
      <c r="B3" s="38" t="s">
        <v>1134</v>
      </c>
      <c r="C3" s="38" t="s">
        <v>1135</v>
      </c>
      <c r="D3" s="38" t="s">
        <v>360</v>
      </c>
      <c r="E3" s="39" t="s">
        <v>1136</v>
      </c>
    </row>
    <row r="4" spans="1:5" x14ac:dyDescent="0.25">
      <c r="A4" s="37" t="s">
        <v>1137</v>
      </c>
      <c r="B4" s="38" t="s">
        <v>1138</v>
      </c>
      <c r="C4" s="38" t="s">
        <v>200</v>
      </c>
      <c r="D4" s="38" t="s">
        <v>1139</v>
      </c>
      <c r="E4" s="40" t="s">
        <v>1140</v>
      </c>
    </row>
    <row r="5" spans="1:5" x14ac:dyDescent="0.25">
      <c r="A5" s="37" t="s">
        <v>1141</v>
      </c>
      <c r="B5" s="38" t="s">
        <v>1142</v>
      </c>
      <c r="C5" s="38" t="s">
        <v>160</v>
      </c>
      <c r="D5" s="38" t="s">
        <v>1143</v>
      </c>
      <c r="E5" s="40" t="s">
        <v>1144</v>
      </c>
    </row>
    <row r="6" spans="1:5" x14ac:dyDescent="0.25">
      <c r="A6" s="37" t="s">
        <v>1145</v>
      </c>
      <c r="B6" s="38" t="s">
        <v>1146</v>
      </c>
      <c r="C6" s="38" t="s">
        <v>463</v>
      </c>
      <c r="D6" s="38" t="s">
        <v>1147</v>
      </c>
      <c r="E6" s="40" t="s">
        <v>1148</v>
      </c>
    </row>
    <row r="7" spans="1:5" x14ac:dyDescent="0.25">
      <c r="A7" s="37" t="s">
        <v>1149</v>
      </c>
      <c r="B7" s="38" t="s">
        <v>1150</v>
      </c>
      <c r="C7" s="38" t="s">
        <v>1151</v>
      </c>
      <c r="D7" s="38" t="s">
        <v>534</v>
      </c>
      <c r="E7" s="39" t="s">
        <v>1152</v>
      </c>
    </row>
    <row r="8" spans="1:5" x14ac:dyDescent="0.25">
      <c r="A8" s="37" t="s">
        <v>1153</v>
      </c>
      <c r="B8" s="38" t="s">
        <v>1154</v>
      </c>
      <c r="C8" s="38" t="s">
        <v>577</v>
      </c>
      <c r="D8" s="38" t="s">
        <v>1155</v>
      </c>
      <c r="E8" s="41" t="s">
        <v>1156</v>
      </c>
    </row>
    <row r="9" spans="1:5" x14ac:dyDescent="0.25">
      <c r="A9" s="37" t="s">
        <v>1157</v>
      </c>
      <c r="B9" s="38" t="s">
        <v>1158</v>
      </c>
      <c r="C9" s="38" t="s">
        <v>330</v>
      </c>
      <c r="D9" s="38" t="s">
        <v>1159</v>
      </c>
      <c r="E9" s="39" t="s">
        <v>1160</v>
      </c>
    </row>
    <row r="10" spans="1:5" x14ac:dyDescent="0.25">
      <c r="A10" s="37" t="s">
        <v>1161</v>
      </c>
      <c r="B10" s="38" t="s">
        <v>1162</v>
      </c>
      <c r="C10" s="38" t="s">
        <v>330</v>
      </c>
      <c r="D10" s="38" t="s">
        <v>1163</v>
      </c>
      <c r="E10" s="40" t="s">
        <v>1164</v>
      </c>
    </row>
    <row r="11" spans="1:5" x14ac:dyDescent="0.25">
      <c r="A11" s="37" t="s">
        <v>1165</v>
      </c>
      <c r="B11" s="38" t="s">
        <v>1166</v>
      </c>
      <c r="C11" s="38" t="s">
        <v>330</v>
      </c>
      <c r="D11" s="38" t="s">
        <v>649</v>
      </c>
      <c r="E11" s="39" t="s">
        <v>1167</v>
      </c>
    </row>
    <row r="12" spans="1:5" x14ac:dyDescent="0.25">
      <c r="A12" s="37" t="s">
        <v>1168</v>
      </c>
      <c r="B12" s="38" t="s">
        <v>1169</v>
      </c>
      <c r="C12" s="38" t="s">
        <v>1170</v>
      </c>
      <c r="D12" s="38" t="s">
        <v>1171</v>
      </c>
      <c r="E12" s="40" t="s">
        <v>1172</v>
      </c>
    </row>
    <row r="13" spans="1:5" x14ac:dyDescent="0.25">
      <c r="A13" s="37" t="s">
        <v>1173</v>
      </c>
      <c r="B13" s="38" t="s">
        <v>1174</v>
      </c>
      <c r="C13" s="38" t="s">
        <v>186</v>
      </c>
      <c r="D13" s="38" t="s">
        <v>1175</v>
      </c>
      <c r="E13" s="39" t="s">
        <v>1176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1"/>
  <sheetFormatPr defaultRowHeight="15" outlineLevelRow="0" outlineLevelCol="0" x14ac:dyDescent="55"/>
  <cols>
    <col min="1" max="1" width="4" customWidth="1"/>
    <col min="2" max="2" width="30" customWidth="1"/>
    <col min="3" max="3" width="70" customWidth="1"/>
    <col min="4" max="4" width="18" customWidth="1"/>
    <col min="5" max="5" width="16" customWidth="1"/>
  </cols>
  <sheetData>
    <row r="2" spans="2:3" x14ac:dyDescent="0.25">
      <c r="B2" s="28" t="s">
        <v>1177</v>
      </c>
      <c r="C2" s="28"/>
    </row>
    <row r="4" spans="2:3" x14ac:dyDescent="0.25">
      <c r="B4" s="42" t="s">
        <v>1178</v>
      </c>
      <c r="C4" s="42"/>
    </row>
    <row r="5" ht="65" customHeight="1" spans="2:3" x14ac:dyDescent="0.25">
      <c r="B5" s="5" t="s">
        <v>1179</v>
      </c>
      <c r="C5" s="5"/>
    </row>
    <row r="6" ht="35" customHeight="1" spans="2:3" x14ac:dyDescent="0.25">
      <c r="B6" s="5" t="s">
        <v>1180</v>
      </c>
      <c r="C6" s="5"/>
    </row>
    <row r="7" ht="35" customHeight="1" spans="2:3" x14ac:dyDescent="0.25">
      <c r="B7" s="5" t="s">
        <v>1181</v>
      </c>
      <c r="C7" s="5"/>
    </row>
    <row r="8" ht="50" customHeight="1" spans="2:3" x14ac:dyDescent="0.25">
      <c r="B8" s="5" t="s">
        <v>1182</v>
      </c>
      <c r="C8" s="5"/>
    </row>
    <row r="10" spans="2:3" x14ac:dyDescent="0.25">
      <c r="B10" s="42" t="s">
        <v>995</v>
      </c>
      <c r="C10" s="42"/>
    </row>
    <row r="11" ht="50" customHeight="1" spans="2:3" x14ac:dyDescent="0.25">
      <c r="B11" s="5" t="s">
        <v>1183</v>
      </c>
      <c r="C11" s="5"/>
    </row>
    <row r="12" ht="50" customHeight="1" spans="2:3" x14ac:dyDescent="0.25">
      <c r="B12" s="5" t="s">
        <v>1184</v>
      </c>
      <c r="C12" s="5"/>
    </row>
    <row r="13" ht="65" customHeight="1" spans="2:3" x14ac:dyDescent="0.25">
      <c r="B13" s="5" t="s">
        <v>1185</v>
      </c>
      <c r="C13" s="5"/>
    </row>
    <row r="14" ht="50" customHeight="1" spans="2:3" x14ac:dyDescent="0.25">
      <c r="B14" s="5" t="s">
        <v>1186</v>
      </c>
      <c r="C14" s="5"/>
    </row>
    <row r="16" spans="2:3" x14ac:dyDescent="0.25">
      <c r="B16" s="42" t="s">
        <v>1187</v>
      </c>
      <c r="C16" s="42"/>
    </row>
    <row r="18" ht="18" customHeight="1" spans="2:5" x14ac:dyDescent="0.25">
      <c r="B18" s="33" t="s">
        <v>1188</v>
      </c>
      <c r="C18" s="33" t="s">
        <v>1189</v>
      </c>
      <c r="D18" s="33" t="s">
        <v>1190</v>
      </c>
      <c r="E18" s="33" t="s">
        <v>1191</v>
      </c>
    </row>
    <row r="19" ht="26" customHeight="1" spans="2:5" x14ac:dyDescent="0.25">
      <c r="B19" s="34" t="s">
        <v>1192</v>
      </c>
      <c r="C19" s="34" t="s">
        <v>10</v>
      </c>
      <c r="D19" s="34" t="s">
        <v>60</v>
      </c>
      <c r="E19" s="34" t="s">
        <v>12</v>
      </c>
    </row>
    <row r="20" ht="26" customHeight="1" spans="2:5" x14ac:dyDescent="0.25">
      <c r="B20" s="34" t="s">
        <v>1193</v>
      </c>
      <c r="C20" s="34" t="s">
        <v>60</v>
      </c>
      <c r="D20" s="34" t="s">
        <v>60</v>
      </c>
      <c r="E20" s="34" t="s">
        <v>60</v>
      </c>
    </row>
    <row r="21" ht="26" customHeight="1" spans="2:5" x14ac:dyDescent="0.25">
      <c r="B21" s="34" t="s">
        <v>1194</v>
      </c>
      <c r="C21" s="34" t="s">
        <v>60</v>
      </c>
      <c r="D21" s="34" t="s">
        <v>60</v>
      </c>
      <c r="E21" s="34" t="s">
        <v>60</v>
      </c>
    </row>
  </sheetData>
  <mergeCells count="12">
    <mergeCell ref="B2:C2"/>
    <mergeCell ref="B4:C4"/>
    <mergeCell ref="B5:C5"/>
    <mergeCell ref="B6:C6"/>
    <mergeCell ref="B7:C7"/>
    <mergeCell ref="B8:C8"/>
    <mergeCell ref="B10:C10"/>
    <mergeCell ref="B11:C11"/>
    <mergeCell ref="B12:C12"/>
    <mergeCell ref="B13:C13"/>
    <mergeCell ref="B14:C14"/>
    <mergeCell ref="B16:C1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Detail</vt:lpstr>
      <vt:lpstr>Defect Log</vt:lpstr>
      <vt:lpstr>Ringkasan Eksekusi</vt:lpstr>
      <vt:lpstr>Traceability Matrix</vt:lpstr>
      <vt:lpstr>Sign-off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(AI QA Engineer) - Automated Browser Testing</dc:creator>
  <dc:title/>
  <dc:subject/>
  <dc:description/>
  <cp:keywords/>
  <cp:category/>
  <cp:lastModifiedBy>Unknown</cp:lastModifiedBy>
  <dcterms:created xsi:type="dcterms:W3CDTF">2026-09-13T00:00:00Z</dcterms:created>
  <dcterms:modified xsi:type="dcterms:W3CDTF">2026-09-13T15:32:23Z</dcterms:modified>
</cp:coreProperties>
</file>